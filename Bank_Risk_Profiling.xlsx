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xr:revisionPtr revIDLastSave="0" documentId="8_{E7F6B291-1AE5-4357-AD22-88907E0E951B}" xr6:coauthVersionLast="47" xr6:coauthVersionMax="47" xr10:uidLastSave="{00000000-0000-0000-0000-000000000000}"/>
  <bookViews>
    <workbookView xWindow="240" yWindow="105" windowWidth="14805" windowHeight="8010" activeTab="10" xr2:uid="{00000000-000D-0000-FFFF-FFFF00000000}"/>
  </bookViews>
  <sheets>
    <sheet name="Dashboard" sheetId="11" r:id="rId1"/>
    <sheet name="Dim_Customers" sheetId="1" r:id="rId2"/>
    <sheet name="Dim_Channels" sheetId="2" r:id="rId3"/>
    <sheet name="Fact_Transactions" sheetId="3" r:id="rId4"/>
    <sheet name="Transactions by Priority" sheetId="4" r:id="rId5"/>
    <sheet name="Transactions by Customer Risk " sheetId="10" r:id="rId6"/>
    <sheet name="Risk by Channel" sheetId="5" r:id="rId7"/>
    <sheet name="Priority by Segment" sheetId="6" r:id="rId8"/>
    <sheet name="Customer_Risk_Profile" sheetId="7" r:id="rId9"/>
    <sheet name="Rule Effectiveness Analysis" sheetId="8" r:id="rId10"/>
    <sheet name="Fact_Reviews" sheetId="9" r:id="rId11"/>
  </sheets>
  <calcPr calcId="191028"/>
  <pivotCaches>
    <pivotCache cacheId="61" r:id="rId12"/>
    <pivotCache cacheId="62" r:id="rId13"/>
    <pivotCache cacheId="6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1" l="1"/>
  <c r="E2" i="11"/>
  <c r="H7" i="11"/>
  <c r="H8" i="11"/>
  <c r="H9" i="11"/>
  <c r="H10" i="11"/>
  <c r="H11" i="11"/>
  <c r="H6" i="11"/>
  <c r="D2" i="1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A2" i="1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I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H20" i="7" s="1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H17" i="7" s="1"/>
  <c r="L85" i="3"/>
  <c r="L84" i="3"/>
  <c r="L83" i="3"/>
  <c r="L82" i="3"/>
  <c r="L81" i="3"/>
  <c r="L80" i="3"/>
  <c r="L79" i="3"/>
  <c r="L78" i="3"/>
  <c r="L77" i="3"/>
  <c r="H14" i="7" s="1"/>
  <c r="L76" i="3"/>
  <c r="L75" i="3"/>
  <c r="L74" i="3"/>
  <c r="H16" i="7" s="1"/>
  <c r="L73" i="3"/>
  <c r="L72" i="3"/>
  <c r="L71" i="3"/>
  <c r="L70" i="3"/>
  <c r="L69" i="3"/>
  <c r="L68" i="3"/>
  <c r="L67" i="3"/>
  <c r="L66" i="3"/>
  <c r="H18" i="7" s="1"/>
  <c r="L65" i="3"/>
  <c r="H21" i="7" s="1"/>
  <c r="L64" i="3"/>
  <c r="L63" i="3"/>
  <c r="H15" i="7" s="1"/>
  <c r="L62" i="3"/>
  <c r="L61" i="3"/>
  <c r="L60" i="3"/>
  <c r="L59" i="3"/>
  <c r="H19" i="7" s="1"/>
  <c r="L58" i="3"/>
  <c r="L57" i="3"/>
  <c r="L56" i="3"/>
  <c r="L55" i="3"/>
  <c r="L54" i="3"/>
  <c r="H13" i="7" s="1"/>
  <c r="L53" i="3"/>
  <c r="L52" i="3"/>
  <c r="H12" i="7" s="1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H11" i="7" l="1"/>
  <c r="H9" i="7"/>
  <c r="H7" i="7"/>
  <c r="H4" i="7"/>
  <c r="H10" i="7"/>
  <c r="H6" i="7"/>
  <c r="H3" i="7"/>
  <c r="H8" i="7"/>
  <c r="H5" i="7"/>
  <c r="G21" i="7"/>
  <c r="J21" i="7" s="1"/>
  <c r="L21" i="7"/>
  <c r="G20" i="7"/>
  <c r="J20" i="7" s="1"/>
  <c r="L20" i="7"/>
  <c r="G19" i="7"/>
  <c r="J19" i="7" s="1"/>
  <c r="L19" i="7"/>
  <c r="G18" i="7"/>
  <c r="J18" i="7" s="1"/>
  <c r="L18" i="7"/>
  <c r="G17" i="7"/>
  <c r="J17" i="7" s="1"/>
  <c r="L17" i="7"/>
  <c r="G16" i="7"/>
  <c r="J16" i="7" s="1"/>
  <c r="L16" i="7"/>
  <c r="G15" i="7"/>
  <c r="J15" i="7" s="1"/>
  <c r="L15" i="7"/>
  <c r="G14" i="7"/>
  <c r="J14" i="7" s="1"/>
  <c r="L14" i="7"/>
  <c r="G13" i="7"/>
  <c r="J13" i="7" s="1"/>
  <c r="L13" i="7"/>
  <c r="G12" i="7"/>
  <c r="J12" i="7" s="1"/>
  <c r="L12" i="7"/>
  <c r="G11" i="7"/>
  <c r="J11" i="7" s="1"/>
  <c r="L11" i="7"/>
  <c r="G10" i="7"/>
  <c r="J10" i="7" s="1"/>
  <c r="L10" i="7"/>
  <c r="G9" i="7"/>
  <c r="J9" i="7" s="1"/>
  <c r="L9" i="7"/>
  <c r="G8" i="7"/>
  <c r="J8" i="7" s="1"/>
  <c r="L8" i="7"/>
  <c r="G7" i="7"/>
  <c r="J7" i="7" s="1"/>
  <c r="L7" i="7"/>
  <c r="G6" i="7"/>
  <c r="J6" i="7" s="1"/>
  <c r="L6" i="7"/>
  <c r="G5" i="7"/>
  <c r="J5" i="7" s="1"/>
  <c r="L5" i="7"/>
  <c r="G4" i="7"/>
  <c r="J4" i="7" s="1"/>
  <c r="L4" i="7"/>
  <c r="G3" i="7"/>
  <c r="J3" i="7" s="1"/>
  <c r="L3" i="7"/>
  <c r="G2" i="7"/>
  <c r="J2" i="7" s="1"/>
  <c r="L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F21" i="7"/>
  <c r="I21" i="7" s="1"/>
  <c r="M21" i="7" s="1"/>
  <c r="F20" i="7"/>
  <c r="I20" i="7" s="1"/>
  <c r="M20" i="7" s="1"/>
  <c r="F19" i="7"/>
  <c r="I19" i="7" s="1"/>
  <c r="M19" i="7" s="1"/>
  <c r="F18" i="7"/>
  <c r="I18" i="7" s="1"/>
  <c r="M18" i="7" s="1"/>
  <c r="F17" i="7"/>
  <c r="I17" i="7" s="1"/>
  <c r="M17" i="7" s="1"/>
  <c r="F16" i="7"/>
  <c r="I16" i="7" s="1"/>
  <c r="M16" i="7" s="1"/>
  <c r="F15" i="7"/>
  <c r="I15" i="7" s="1"/>
  <c r="M15" i="7" s="1"/>
  <c r="F14" i="7"/>
  <c r="I14" i="7" s="1"/>
  <c r="M14" i="7" s="1"/>
  <c r="F13" i="7"/>
  <c r="I13" i="7" s="1"/>
  <c r="M13" i="7" s="1"/>
  <c r="F12" i="7"/>
  <c r="I12" i="7" s="1"/>
  <c r="M12" i="7" s="1"/>
  <c r="F11" i="7"/>
  <c r="I11" i="7" s="1"/>
  <c r="M11" i="7" s="1"/>
  <c r="F10" i="7"/>
  <c r="I10" i="7" s="1"/>
  <c r="M10" i="7" s="1"/>
  <c r="F9" i="7"/>
  <c r="I9" i="7" s="1"/>
  <c r="M9" i="7" s="1"/>
  <c r="F8" i="7"/>
  <c r="I8" i="7" s="1"/>
  <c r="M8" i="7" s="1"/>
  <c r="F7" i="7"/>
  <c r="I7" i="7" s="1"/>
  <c r="M7" i="7" s="1"/>
  <c r="F6" i="7"/>
  <c r="I6" i="7" s="1"/>
  <c r="M6" i="7" s="1"/>
  <c r="F5" i="7"/>
  <c r="I5" i="7" s="1"/>
  <c r="M5" i="7" s="1"/>
  <c r="F4" i="7"/>
  <c r="I4" i="7" s="1"/>
  <c r="M4" i="7" s="1"/>
  <c r="F3" i="7"/>
  <c r="I3" i="7" s="1"/>
  <c r="M3" i="7" s="1"/>
  <c r="F2" i="7"/>
  <c r="I2" i="7" s="1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M26" i="3" a="1"/>
  <c r="M26" i="3" s="1"/>
  <c r="M25" i="3" a="1"/>
  <c r="M25" i="3" s="1"/>
  <c r="M24" i="3" a="1"/>
  <c r="M24" i="3" s="1"/>
  <c r="M23" i="3" a="1"/>
  <c r="M23" i="3" s="1"/>
  <c r="M22" i="3" a="1"/>
  <c r="M22" i="3" s="1"/>
  <c r="M21" i="3" a="1"/>
  <c r="M21" i="3" s="1"/>
  <c r="M20" i="3" a="1"/>
  <c r="M20" i="3" s="1"/>
  <c r="M19" i="3" a="1"/>
  <c r="M19" i="3" s="1"/>
  <c r="M18" i="3" a="1"/>
  <c r="M18" i="3" s="1"/>
  <c r="D3" i="9" s="1"/>
  <c r="M17" i="3" a="1"/>
  <c r="M17" i="3" s="1"/>
  <c r="M16" i="3" a="1"/>
  <c r="M16" i="3" s="1"/>
  <c r="M15" i="3" a="1"/>
  <c r="M15" i="3" s="1"/>
  <c r="M14" i="3" a="1"/>
  <c r="M14" i="3" s="1"/>
  <c r="M13" i="3" a="1"/>
  <c r="M13" i="3" s="1"/>
  <c r="M12" i="3" a="1"/>
  <c r="M12" i="3" s="1"/>
  <c r="M11" i="3" a="1"/>
  <c r="M11" i="3" s="1"/>
  <c r="M10" i="3" a="1"/>
  <c r="M10" i="3" s="1"/>
  <c r="M9" i="3" a="1"/>
  <c r="M9" i="3" s="1"/>
  <c r="M8" i="3" a="1"/>
  <c r="M8" i="3" s="1"/>
  <c r="M7" i="3" a="1"/>
  <c r="M7" i="3" s="1"/>
  <c r="M6" i="3" a="1"/>
  <c r="M6" i="3" s="1"/>
  <c r="M5" i="3" a="1"/>
  <c r="M5" i="3" s="1"/>
  <c r="M4" i="3" a="1"/>
  <c r="M4" i="3" s="1"/>
  <c r="M3" i="3" a="1"/>
  <c r="M3" i="3" s="1"/>
  <c r="M52" i="3" a="1"/>
  <c r="M52" i="3" s="1"/>
  <c r="D6" i="9" s="1"/>
  <c r="M53" i="3" a="1"/>
  <c r="M53" i="3" s="1"/>
  <c r="M54" i="3" a="1"/>
  <c r="M54" i="3" s="1"/>
  <c r="M55" i="3" a="1"/>
  <c r="M55" i="3" s="1"/>
  <c r="M56" i="3" a="1"/>
  <c r="M56" i="3" s="1"/>
  <c r="M57" i="3" a="1"/>
  <c r="M57" i="3" s="1"/>
  <c r="M58" i="3" a="1"/>
  <c r="M58" i="3" s="1"/>
  <c r="M59" i="3" a="1"/>
  <c r="M59" i="3" s="1"/>
  <c r="M60" i="3" a="1"/>
  <c r="M60" i="3" s="1"/>
  <c r="M61" i="3" a="1"/>
  <c r="M61" i="3" s="1"/>
  <c r="D7" i="9" s="1"/>
  <c r="M62" i="3" a="1"/>
  <c r="M62" i="3" s="1"/>
  <c r="M63" i="3" a="1"/>
  <c r="M63" i="3" s="1"/>
  <c r="M64" i="3" a="1"/>
  <c r="M64" i="3" s="1"/>
  <c r="M65" i="3" a="1"/>
  <c r="M65" i="3" s="1"/>
  <c r="M66" i="3" a="1"/>
  <c r="M66" i="3" s="1"/>
  <c r="M67" i="3" a="1"/>
  <c r="M67" i="3" s="1"/>
  <c r="M68" i="3" a="1"/>
  <c r="M68" i="3" s="1"/>
  <c r="M69" i="3" a="1"/>
  <c r="M69" i="3" s="1"/>
  <c r="M70" i="3" a="1"/>
  <c r="M70" i="3" s="1"/>
  <c r="M71" i="3" a="1"/>
  <c r="M71" i="3" s="1"/>
  <c r="D8" i="9" s="1"/>
  <c r="M72" i="3" a="1"/>
  <c r="M72" i="3" s="1"/>
  <c r="M73" i="3" a="1"/>
  <c r="M73" i="3" s="1"/>
  <c r="D9" i="9" s="1"/>
  <c r="M74" i="3" a="1"/>
  <c r="M74" i="3" s="1"/>
  <c r="D10" i="9" s="1"/>
  <c r="M75" i="3" a="1"/>
  <c r="M75" i="3" s="1"/>
  <c r="M76" i="3" a="1"/>
  <c r="M76" i="3" s="1"/>
  <c r="M77" i="3" a="1"/>
  <c r="M77" i="3" s="1"/>
  <c r="M78" i="3" a="1"/>
  <c r="M78" i="3" s="1"/>
  <c r="M79" i="3" a="1"/>
  <c r="M79" i="3" s="1"/>
  <c r="M80" i="3" a="1"/>
  <c r="M80" i="3" s="1"/>
  <c r="M81" i="3" a="1"/>
  <c r="M81" i="3" s="1"/>
  <c r="M82" i="3" a="1"/>
  <c r="M82" i="3" s="1"/>
  <c r="M83" i="3" a="1"/>
  <c r="M83" i="3" s="1"/>
  <c r="M84" i="3" a="1"/>
  <c r="M84" i="3" s="1"/>
  <c r="M85" i="3" a="1"/>
  <c r="M85" i="3" s="1"/>
  <c r="M86" i="3" a="1"/>
  <c r="M86" i="3" s="1"/>
  <c r="M87" i="3" a="1"/>
  <c r="M87" i="3" s="1"/>
  <c r="D11" i="9" s="1"/>
  <c r="M88" i="3" a="1"/>
  <c r="M88" i="3" s="1"/>
  <c r="M89" i="3" a="1"/>
  <c r="M89" i="3" s="1"/>
  <c r="M90" i="3" a="1"/>
  <c r="M90" i="3" s="1"/>
  <c r="M91" i="3" a="1"/>
  <c r="M91" i="3" s="1"/>
  <c r="M92" i="3" a="1"/>
  <c r="M92" i="3" s="1"/>
  <c r="M93" i="3" a="1"/>
  <c r="M93" i="3" s="1"/>
  <c r="M94" i="3" a="1"/>
  <c r="M94" i="3" s="1"/>
  <c r="M95" i="3" a="1"/>
  <c r="M95" i="3" s="1"/>
  <c r="M96" i="3" a="1"/>
  <c r="M96" i="3" s="1"/>
  <c r="M97" i="3" a="1"/>
  <c r="M97" i="3" s="1"/>
  <c r="M98" i="3" a="1"/>
  <c r="M98" i="3" s="1"/>
  <c r="M99" i="3" a="1"/>
  <c r="M99" i="3" s="1"/>
  <c r="M100" i="3" a="1"/>
  <c r="M100" i="3" s="1"/>
  <c r="M101" i="3" a="1"/>
  <c r="M101" i="3" s="1"/>
  <c r="D12" i="9" s="1"/>
  <c r="M102" i="3" a="1"/>
  <c r="M102" i="3" s="1"/>
  <c r="M103" i="3" a="1"/>
  <c r="M103" i="3" s="1"/>
  <c r="M104" i="3" a="1"/>
  <c r="M104" i="3" s="1"/>
  <c r="M105" i="3" a="1"/>
  <c r="M105" i="3" s="1"/>
  <c r="M106" i="3" a="1"/>
  <c r="M106" i="3" s="1"/>
  <c r="M107" i="3" a="1"/>
  <c r="M107" i="3" s="1"/>
  <c r="M108" i="3" a="1"/>
  <c r="M108" i="3" s="1"/>
  <c r="M109" i="3" a="1"/>
  <c r="M109" i="3" s="1"/>
  <c r="M110" i="3" a="1"/>
  <c r="M110" i="3" s="1"/>
  <c r="M111" i="3" a="1"/>
  <c r="M111" i="3" s="1"/>
  <c r="M112" i="3" a="1"/>
  <c r="M112" i="3" s="1"/>
  <c r="M113" i="3" a="1"/>
  <c r="M113" i="3" s="1"/>
  <c r="M114" i="3" a="1"/>
  <c r="M114" i="3" s="1"/>
  <c r="M115" i="3" a="1"/>
  <c r="M115" i="3" s="1"/>
  <c r="M116" i="3" a="1"/>
  <c r="M116" i="3" s="1"/>
  <c r="M117" i="3" a="1"/>
  <c r="M117" i="3" s="1"/>
  <c r="D13" i="9" s="1"/>
  <c r="M118" i="3" a="1"/>
  <c r="M118" i="3" s="1"/>
  <c r="M119" i="3" a="1"/>
  <c r="M119" i="3" s="1"/>
  <c r="M120" i="3" a="1"/>
  <c r="M120" i="3" s="1"/>
  <c r="M121" i="3" a="1"/>
  <c r="M121" i="3" s="1"/>
  <c r="M122" i="3" a="1"/>
  <c r="M122" i="3" s="1"/>
  <c r="D14" i="9" s="1"/>
  <c r="M123" i="3" a="1"/>
  <c r="M123" i="3" s="1"/>
  <c r="M124" i="3" a="1"/>
  <c r="M124" i="3" s="1"/>
  <c r="M125" i="3" a="1"/>
  <c r="M125" i="3" s="1"/>
  <c r="M126" i="3" a="1"/>
  <c r="M126" i="3" s="1"/>
  <c r="M127" i="3" a="1"/>
  <c r="M127" i="3" s="1"/>
  <c r="M128" i="3" a="1"/>
  <c r="M128" i="3" s="1"/>
  <c r="M129" i="3" a="1"/>
  <c r="M129" i="3" s="1"/>
  <c r="M130" i="3" a="1"/>
  <c r="M130" i="3" s="1"/>
  <c r="M131" i="3" a="1"/>
  <c r="M131" i="3" s="1"/>
  <c r="M132" i="3" a="1"/>
  <c r="M132" i="3" s="1"/>
  <c r="M133" i="3" a="1"/>
  <c r="M133" i="3" s="1"/>
  <c r="M134" i="3" a="1"/>
  <c r="M134" i="3" s="1"/>
  <c r="M135" i="3" a="1"/>
  <c r="M135" i="3" s="1"/>
  <c r="D15" i="9" s="1"/>
  <c r="M136" i="3" a="1"/>
  <c r="M136" i="3" s="1"/>
  <c r="M137" i="3" a="1"/>
  <c r="M137" i="3" s="1"/>
  <c r="M138" i="3" a="1"/>
  <c r="M138" i="3" s="1"/>
  <c r="M139" i="3" a="1"/>
  <c r="M139" i="3" s="1"/>
  <c r="D16" i="9" s="1"/>
  <c r="M140" i="3" a="1"/>
  <c r="M140" i="3" s="1"/>
  <c r="M141" i="3" a="1"/>
  <c r="M141" i="3" s="1"/>
  <c r="M142" i="3" a="1"/>
  <c r="M142" i="3" s="1"/>
  <c r="M143" i="3" a="1"/>
  <c r="M143" i="3" s="1"/>
  <c r="M144" i="3" a="1"/>
  <c r="M144" i="3" s="1"/>
  <c r="M145" i="3" a="1"/>
  <c r="M145" i="3" s="1"/>
  <c r="M146" i="3" a="1"/>
  <c r="M146" i="3" s="1"/>
  <c r="M147" i="3" a="1"/>
  <c r="M147" i="3" s="1"/>
  <c r="D17" i="9" s="1"/>
  <c r="M148" i="3" a="1"/>
  <c r="M148" i="3" s="1"/>
  <c r="M149" i="3" a="1"/>
  <c r="M149" i="3" s="1"/>
  <c r="M150" i="3" a="1"/>
  <c r="M150" i="3" s="1"/>
  <c r="M151" i="3" a="1"/>
  <c r="M151" i="3" s="1"/>
  <c r="M152" i="3" a="1"/>
  <c r="M152" i="3" s="1"/>
  <c r="M153" i="3" a="1"/>
  <c r="M153" i="3" s="1"/>
  <c r="M154" i="3" a="1"/>
  <c r="M154" i="3" s="1"/>
  <c r="M155" i="3" a="1"/>
  <c r="M155" i="3" s="1"/>
  <c r="M156" i="3" a="1"/>
  <c r="M156" i="3" s="1"/>
  <c r="M157" i="3" a="1"/>
  <c r="M157" i="3" s="1"/>
  <c r="M158" i="3" a="1"/>
  <c r="M158" i="3" s="1"/>
  <c r="M159" i="3" a="1"/>
  <c r="M159" i="3" s="1"/>
  <c r="M160" i="3" a="1"/>
  <c r="M160" i="3" s="1"/>
  <c r="M161" i="3" a="1"/>
  <c r="M161" i="3" s="1"/>
  <c r="M162" i="3" a="1"/>
  <c r="M162" i="3" s="1"/>
  <c r="M163" i="3" a="1"/>
  <c r="M163" i="3" s="1"/>
  <c r="M164" i="3" a="1"/>
  <c r="M164" i="3" s="1"/>
  <c r="M165" i="3" a="1"/>
  <c r="M165" i="3" s="1"/>
  <c r="M166" i="3" a="1"/>
  <c r="M166" i="3" s="1"/>
  <c r="M167" i="3" a="1"/>
  <c r="M167" i="3" s="1"/>
  <c r="M168" i="3" a="1"/>
  <c r="M168" i="3" s="1"/>
  <c r="M169" i="3" a="1"/>
  <c r="M169" i="3" s="1"/>
  <c r="M170" i="3" a="1"/>
  <c r="M170" i="3" s="1"/>
  <c r="D18" i="9" s="1"/>
  <c r="M171" i="3" a="1"/>
  <c r="M171" i="3" s="1"/>
  <c r="M172" i="3" a="1"/>
  <c r="M172" i="3" s="1"/>
  <c r="M173" i="3" a="1"/>
  <c r="M173" i="3" s="1"/>
  <c r="M174" i="3" a="1"/>
  <c r="M174" i="3" s="1"/>
  <c r="M175" i="3" a="1"/>
  <c r="M175" i="3" s="1"/>
  <c r="M176" i="3" a="1"/>
  <c r="M176" i="3" s="1"/>
  <c r="M177" i="3" a="1"/>
  <c r="M177" i="3" s="1"/>
  <c r="M178" i="3" a="1"/>
  <c r="M178" i="3" s="1"/>
  <c r="D19" i="9" s="1"/>
  <c r="M179" i="3" a="1"/>
  <c r="M179" i="3" s="1"/>
  <c r="M180" i="3" a="1"/>
  <c r="M180" i="3" s="1"/>
  <c r="M181" i="3" a="1"/>
  <c r="M181" i="3" s="1"/>
  <c r="M182" i="3" a="1"/>
  <c r="M182" i="3" s="1"/>
  <c r="M183" i="3" a="1"/>
  <c r="M183" i="3" s="1"/>
  <c r="D20" i="9" s="1"/>
  <c r="M184" i="3" a="1"/>
  <c r="M184" i="3" s="1"/>
  <c r="D21" i="9" s="1"/>
  <c r="M185" i="3" a="1"/>
  <c r="M185" i="3" s="1"/>
  <c r="M186" i="3" a="1"/>
  <c r="M186" i="3" s="1"/>
  <c r="M187" i="3" a="1"/>
  <c r="M187" i="3" s="1"/>
  <c r="M188" i="3" a="1"/>
  <c r="M188" i="3" s="1"/>
  <c r="M189" i="3" a="1"/>
  <c r="M189" i="3" s="1"/>
  <c r="M190" i="3" a="1"/>
  <c r="M190" i="3" s="1"/>
  <c r="M191" i="3" a="1"/>
  <c r="M191" i="3" s="1"/>
  <c r="M192" i="3" a="1"/>
  <c r="M192" i="3" s="1"/>
  <c r="M193" i="3" a="1"/>
  <c r="M193" i="3" s="1"/>
  <c r="M194" i="3" a="1"/>
  <c r="M194" i="3" s="1"/>
  <c r="M195" i="3" a="1"/>
  <c r="M195" i="3" s="1"/>
  <c r="M196" i="3" a="1"/>
  <c r="M196" i="3" s="1"/>
  <c r="M197" i="3" a="1"/>
  <c r="M197" i="3" s="1"/>
  <c r="M198" i="3" a="1"/>
  <c r="M198" i="3" s="1"/>
  <c r="M199" i="3" a="1"/>
  <c r="M199" i="3" s="1"/>
  <c r="M200" i="3" a="1"/>
  <c r="M200" i="3" s="1"/>
  <c r="M201" i="3" a="1"/>
  <c r="M201" i="3" s="1"/>
  <c r="M27" i="3" a="1"/>
  <c r="M27" i="3" s="1"/>
  <c r="M28" i="3" a="1"/>
  <c r="M28" i="3" s="1"/>
  <c r="M29" i="3" a="1"/>
  <c r="M29" i="3" s="1"/>
  <c r="M30" i="3" a="1"/>
  <c r="M30" i="3" s="1"/>
  <c r="D4" i="9" s="1"/>
  <c r="M31" i="3" a="1"/>
  <c r="M31" i="3" s="1"/>
  <c r="M32" i="3" a="1"/>
  <c r="M32" i="3" s="1"/>
  <c r="M33" i="3" a="1"/>
  <c r="M33" i="3" s="1"/>
  <c r="M34" i="3" a="1"/>
  <c r="M34" i="3" s="1"/>
  <c r="M35" i="3" a="1"/>
  <c r="M35" i="3" s="1"/>
  <c r="M36" i="3" a="1"/>
  <c r="M36" i="3" s="1"/>
  <c r="M37" i="3" a="1"/>
  <c r="M37" i="3" s="1"/>
  <c r="M38" i="3" a="1"/>
  <c r="M38" i="3" s="1"/>
  <c r="M39" i="3" a="1"/>
  <c r="M39" i="3" s="1"/>
  <c r="M40" i="3" a="1"/>
  <c r="M40" i="3" s="1"/>
  <c r="D5" i="9" s="1"/>
  <c r="M41" i="3" a="1"/>
  <c r="M41" i="3" s="1"/>
  <c r="M42" i="3" a="1"/>
  <c r="M42" i="3" s="1"/>
  <c r="M43" i="3" a="1"/>
  <c r="M43" i="3" s="1"/>
  <c r="M44" i="3" a="1"/>
  <c r="M44" i="3" s="1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N5" i="3" l="1"/>
  <c r="N17" i="3"/>
  <c r="N28" i="3"/>
  <c r="N42" i="3"/>
  <c r="N98" i="3"/>
  <c r="N129" i="3"/>
  <c r="N130" i="3"/>
  <c r="N10" i="3"/>
  <c r="N21" i="3"/>
  <c r="N34" i="3"/>
  <c r="N44" i="3"/>
  <c r="N83" i="3"/>
  <c r="N177" i="3"/>
  <c r="N189" i="3"/>
  <c r="N3" i="3"/>
  <c r="N7" i="3"/>
  <c r="N14" i="3"/>
  <c r="N24" i="3"/>
  <c r="N31" i="3"/>
  <c r="N39" i="3"/>
  <c r="N50" i="3"/>
  <c r="N55" i="3"/>
  <c r="N71" i="3"/>
  <c r="E8" i="9" s="1"/>
  <c r="N78" i="3"/>
  <c r="N96" i="3"/>
  <c r="N101" i="3"/>
  <c r="E12" i="9" s="1"/>
  <c r="N111" i="3"/>
  <c r="N113" i="3"/>
  <c r="N134" i="3"/>
  <c r="N139" i="3"/>
  <c r="E16" i="9" s="1"/>
  <c r="N145" i="3"/>
  <c r="N163" i="3"/>
  <c r="N175" i="3"/>
  <c r="N186" i="3"/>
  <c r="N197" i="3"/>
  <c r="N6" i="3"/>
  <c r="N12" i="3"/>
  <c r="N20" i="3"/>
  <c r="N29" i="3"/>
  <c r="N38" i="3"/>
  <c r="N48" i="3"/>
  <c r="N95" i="3"/>
  <c r="N128" i="3"/>
  <c r="N131" i="3"/>
  <c r="N135" i="3"/>
  <c r="E15" i="9" s="1"/>
  <c r="N178" i="3"/>
  <c r="E19" i="9" s="1"/>
  <c r="N190" i="3"/>
  <c r="N11" i="3"/>
  <c r="N22" i="3"/>
  <c r="N35" i="3"/>
  <c r="N45" i="3"/>
  <c r="N92" i="3"/>
  <c r="N99" i="3"/>
  <c r="N103" i="3"/>
  <c r="N118" i="3"/>
  <c r="N153" i="3"/>
  <c r="N154" i="3"/>
  <c r="N155" i="3"/>
  <c r="N165" i="3"/>
  <c r="N185" i="3"/>
  <c r="N199" i="3"/>
  <c r="N4" i="3"/>
  <c r="N9" i="3"/>
  <c r="N19" i="3"/>
  <c r="N26" i="3"/>
  <c r="N32" i="3"/>
  <c r="N41" i="3"/>
  <c r="N51" i="3"/>
  <c r="N67" i="3"/>
  <c r="N69" i="3"/>
  <c r="N79" i="3"/>
  <c r="N116" i="3"/>
  <c r="N119" i="3"/>
  <c r="N187" i="3"/>
  <c r="N13" i="3"/>
  <c r="N23" i="3"/>
  <c r="N30" i="3"/>
  <c r="E4" i="9" s="1"/>
  <c r="N40" i="3"/>
  <c r="E5" i="9" s="1"/>
  <c r="N49" i="3"/>
  <c r="N89" i="3"/>
  <c r="N91" i="3"/>
  <c r="N97" i="3"/>
  <c r="N109" i="3"/>
  <c r="N110" i="3"/>
  <c r="N201" i="3"/>
  <c r="N8" i="3"/>
  <c r="N18" i="3"/>
  <c r="E3" i="9" s="1"/>
  <c r="N33" i="3"/>
  <c r="N43" i="3"/>
  <c r="N53" i="3"/>
  <c r="N57" i="3"/>
  <c r="N76" i="3"/>
  <c r="N80" i="3"/>
  <c r="N81" i="3"/>
  <c r="N85" i="3"/>
  <c r="N122" i="3"/>
  <c r="E14" i="9" s="1"/>
  <c r="N133" i="3"/>
  <c r="N137" i="3"/>
  <c r="N143" i="3"/>
  <c r="N164" i="3"/>
  <c r="N173" i="3"/>
  <c r="N184" i="3"/>
  <c r="E21" i="9" s="1"/>
  <c r="N191" i="3"/>
  <c r="N193" i="3"/>
  <c r="N16" i="3"/>
  <c r="N25" i="3"/>
  <c r="N36" i="3"/>
  <c r="N46" i="3"/>
  <c r="N75" i="3"/>
  <c r="N105" i="3"/>
  <c r="N106" i="3"/>
  <c r="N108" i="3"/>
  <c r="N144" i="3"/>
  <c r="N146" i="3"/>
  <c r="N147" i="3"/>
  <c r="E17" i="9" s="1"/>
  <c r="N161" i="3"/>
  <c r="N170" i="3"/>
  <c r="E18" i="9" s="1"/>
  <c r="N179" i="3"/>
  <c r="N180" i="3"/>
  <c r="N194" i="3"/>
  <c r="N52" i="3"/>
  <c r="E6" i="9" s="1"/>
  <c r="N58" i="3"/>
  <c r="N148" i="3"/>
  <c r="N160" i="3"/>
  <c r="N183" i="3"/>
  <c r="E20" i="9" s="1"/>
  <c r="N54" i="3"/>
  <c r="N60" i="3"/>
  <c r="N61" i="3"/>
  <c r="E7" i="9" s="1"/>
  <c r="N62" i="3"/>
  <c r="N115" i="3"/>
  <c r="N142" i="3"/>
  <c r="N200" i="3"/>
  <c r="N77" i="3"/>
  <c r="N90" i="3"/>
  <c r="N117" i="3"/>
  <c r="E13" i="9" s="1"/>
  <c r="N140" i="3"/>
  <c r="N171" i="3"/>
  <c r="N188" i="3"/>
  <c r="N63" i="3"/>
  <c r="N64" i="3"/>
  <c r="N100" i="3"/>
  <c r="N120" i="3"/>
  <c r="N121" i="3"/>
  <c r="N132" i="3"/>
  <c r="N149" i="3"/>
  <c r="N150" i="3"/>
  <c r="N196" i="3"/>
  <c r="N74" i="3"/>
  <c r="E10" i="9" s="1"/>
  <c r="N88" i="3"/>
  <c r="N94" i="3"/>
  <c r="N124" i="3"/>
  <c r="N136" i="3"/>
  <c r="N156" i="3"/>
  <c r="N174" i="3"/>
  <c r="N181" i="3"/>
  <c r="N192" i="3"/>
  <c r="N86" i="3"/>
  <c r="N138" i="3"/>
  <c r="N152" i="3"/>
  <c r="N168" i="3"/>
  <c r="N172" i="3"/>
  <c r="N176" i="3"/>
  <c r="N198" i="3"/>
  <c r="N66" i="3"/>
  <c r="N70" i="3"/>
  <c r="N102" i="3"/>
  <c r="N104" i="3"/>
  <c r="N157" i="3"/>
  <c r="N59" i="3"/>
  <c r="N82" i="3"/>
  <c r="N84" i="3"/>
  <c r="N107" i="3"/>
  <c r="N141" i="3"/>
  <c r="N167" i="3"/>
  <c r="N195" i="3"/>
  <c r="N158" i="3"/>
  <c r="N166" i="3"/>
  <c r="N65" i="3"/>
  <c r="N87" i="3"/>
  <c r="E11" i="9" s="1"/>
  <c r="N93" i="3"/>
  <c r="N114" i="3"/>
  <c r="N126" i="3"/>
  <c r="N162" i="3"/>
  <c r="J2" i="3"/>
  <c r="D2" i="9"/>
  <c r="E2" i="9" l="1"/>
  <c r="C2" i="7"/>
  <c r="D2" i="7" s="1"/>
  <c r="L2" i="3"/>
  <c r="B2" i="11" s="1"/>
  <c r="C2" i="11" s="1"/>
  <c r="H2" i="7" l="1"/>
  <c r="K2" i="7" s="1"/>
  <c r="M2" i="7" s="1"/>
  <c r="M2" i="3" a="1"/>
  <c r="M2" i="3" s="1"/>
  <c r="C3" i="4" l="1"/>
  <c r="C5" i="4"/>
  <c r="C4" i="4"/>
  <c r="C2" i="4"/>
  <c r="B5" i="4"/>
  <c r="D5" i="4" s="1"/>
  <c r="B4" i="4"/>
  <c r="D4" i="4" s="1"/>
  <c r="B2" i="4"/>
  <c r="D2" i="4" s="1"/>
  <c r="B3" i="4"/>
  <c r="D3" i="4" s="1"/>
  <c r="N2" i="3"/>
  <c r="N15" i="3"/>
  <c r="N27" i="3"/>
  <c r="N37" i="3"/>
  <c r="N47" i="3"/>
  <c r="N56" i="3"/>
  <c r="N68" i="3"/>
  <c r="N72" i="3"/>
  <c r="N73" i="3"/>
  <c r="E9" i="9" s="1"/>
  <c r="N112" i="3"/>
  <c r="N123" i="3"/>
  <c r="N125" i="3"/>
  <c r="N127" i="3"/>
  <c r="N151" i="3"/>
  <c r="N159" i="3"/>
  <c r="N169" i="3"/>
  <c r="N18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<sst xmlns="http://schemas.openxmlformats.org/spreadsheetml/2006/main" count="1285" uniqueCount="309">
  <si>
    <t>Total Transactions</t>
  </si>
  <si>
    <t>HIGH_RISK Transactions</t>
  </si>
  <si>
    <t>HIGH_RISK Rate</t>
  </si>
  <si>
    <t>Reviewed Transactions</t>
  </si>
  <si>
    <t>Confirmed Risk Reviews</t>
  </si>
  <si>
    <t>Confirmed Risk Rate</t>
  </si>
  <si>
    <t>Merchant_category</t>
  </si>
  <si>
    <t>Corporate</t>
  </si>
  <si>
    <t>Crypto</t>
  </si>
  <si>
    <t>Electronics</t>
  </si>
  <si>
    <t>Gambling</t>
  </si>
  <si>
    <t>Retail</t>
  </si>
  <si>
    <t>Travel</t>
  </si>
  <si>
    <t>Key Insights</t>
  </si>
  <si>
    <t>• Crypto has the highest HIGH_RISK rate (53.1%).</t>
  </si>
  <si>
    <t>• Gambling has the highest number of HIGH_RISK transactions (18).</t>
  </si>
  <si>
    <t>• Retail has the lowest HIGH_RISK rate (7.5%).</t>
  </si>
  <si>
    <t>• 15 of 20 manually reviewed HIGH_RISK transactions were classified as CONFIRMED_RISK.</t>
  </si>
  <si>
    <t>customer_id</t>
  </si>
  <si>
    <t>customer_segment</t>
  </si>
  <si>
    <t>account_age_days</t>
  </si>
  <si>
    <t>risk_category_initial</t>
  </si>
  <si>
    <t>C101</t>
  </si>
  <si>
    <t>VIP</t>
  </si>
  <si>
    <t>Low</t>
  </si>
  <si>
    <t>C102</t>
  </si>
  <si>
    <t>C103</t>
  </si>
  <si>
    <t>C104</t>
  </si>
  <si>
    <t>High</t>
  </si>
  <si>
    <t>C105</t>
  </si>
  <si>
    <t>Medium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</si>
  <si>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</si>
  <si>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</si>
  <si>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</si>
  <si>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</si>
  <si>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</si>
  <si>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</si>
  <si>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</si>
  <si>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</si>
  <si>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</si>
  <si>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</si>
  <si>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</si>
  <si>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</si>
  <si>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</si>
  <si>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</si>
  <si>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</si>
  <si>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channel_id</t>
  </si>
  <si>
    <t>channel_name</t>
  </si>
  <si>
    <t>CH1</t>
  </si>
  <si>
    <t>ATM</t>
  </si>
  <si>
    <t>CH2</t>
  </si>
  <si>
    <t>POS</t>
  </si>
  <si>
    <t>CH3</t>
  </si>
  <si>
    <t>ONLINE</t>
  </si>
  <si>
    <t>CH4</t>
  </si>
  <si>
    <t>MOBILE</t>
  </si>
  <si>
    <t>transaction_id</t>
  </si>
  <si>
    <t>transaction_timestamp</t>
  </si>
  <si>
    <t>amount</t>
  </si>
  <si>
    <t>status</t>
  </si>
  <si>
    <t>is_night_transaction</t>
  </si>
  <si>
    <t>merchant_category</t>
  </si>
  <si>
    <t>risk_flag</t>
  </si>
  <si>
    <t>manual_review_priority</t>
  </si>
  <si>
    <t>customer_risk_score</t>
  </si>
  <si>
    <t>T1001</t>
  </si>
  <si>
    <t>ACCEPTED</t>
  </si>
  <si>
    <t>T1002</t>
  </si>
  <si>
    <t>DECLINED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</si>
  <si>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</si>
  <si>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</si>
  <si>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</si>
  <si>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</si>
  <si>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</si>
  <si>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</si>
  <si>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</si>
  <si>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</si>
  <si>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</si>
  <si>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</si>
  <si>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</si>
  <si>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</si>
  <si>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</si>
  <si>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</si>
  <si>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</si>
  <si>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</si>
  <si>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</si>
  <si>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</si>
  <si>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</si>
  <si>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</si>
  <si>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</si>
  <si>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</si>
  <si>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</si>
  <si>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</si>
  <si>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</si>
  <si>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</si>
  <si>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</si>
  <si>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</si>
  <si>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</si>
  <si>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</si>
  <si>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</si>
  <si>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</si>
  <si>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</si>
  <si>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</si>
  <si>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</si>
  <si>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</si>
  <si>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</si>
  <si>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</si>
  <si>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</si>
  <si>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</si>
  <si>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</si>
  <si>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</si>
  <si>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</si>
  <si>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</si>
  <si>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</si>
  <si>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</si>
  <si>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</si>
  <si>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</si>
  <si>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</si>
  <si>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</si>
  <si>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</si>
  <si>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</si>
  <si>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</si>
  <si>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</si>
  <si>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</si>
  <si>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</si>
  <si>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</si>
  <si>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</si>
  <si>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</si>
  <si>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</si>
  <si>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</si>
  <si>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</si>
  <si>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</si>
  <si>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</si>
  <si>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</si>
  <si>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</si>
  <si>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</si>
  <si>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</si>
  <si>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</si>
  <si>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</si>
  <si>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</si>
  <si>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</si>
  <si>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</si>
  <si>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</si>
  <si>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</si>
  <si>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</si>
  <si>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</si>
  <si>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</si>
  <si>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</si>
  <si>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</si>
  <si>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</si>
  <si>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</si>
  <si>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</si>
  <si>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</si>
  <si>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</si>
  <si>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</si>
  <si>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</si>
  <si>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</si>
  <si>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</si>
  <si>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</si>
  <si>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</si>
  <si>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</si>
  <si>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</si>
  <si>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</si>
  <si>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</si>
  <si>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</si>
  <si>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</si>
  <si>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</si>
  <si>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</si>
  <si>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</si>
  <si>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</si>
  <si>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</si>
  <si>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</si>
  <si>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</si>
  <si>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</si>
  <si>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</si>
  <si>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</si>
  <si>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</si>
  <si>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</si>
  <si>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</si>
  <si>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</si>
  <si>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</si>
  <si>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</si>
  <si>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</si>
  <si>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</si>
  <si>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</si>
  <si>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</si>
  <si>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</si>
  <si>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</si>
  <si>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</si>
  <si>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</si>
  <si>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</si>
  <si>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</si>
  <si>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</si>
  <si>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</si>
  <si>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</si>
  <si>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</si>
  <si>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</si>
  <si>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</si>
  <si>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</si>
  <si>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</si>
  <si>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</si>
  <si>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</si>
  <si>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</si>
  <si>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</si>
  <si>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</si>
  <si>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</si>
  <si>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</si>
  <si>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</si>
  <si>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</si>
  <si>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</si>
  <si>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</si>
  <si>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</si>
  <si>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</si>
  <si>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</si>
  <si>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</si>
  <si>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</si>
  <si>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</si>
  <si>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</si>
  <si>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</si>
  <si>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</si>
  <si>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</si>
  <si>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</si>
  <si>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</si>
  <si>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</si>
  <si>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</si>
  <si>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</si>
  <si>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</si>
  <si>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</si>
  <si>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</si>
  <si>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</si>
  <si>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</si>
  <si>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</si>
  <si>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</si>
  <si>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</si>
  <si>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</si>
  <si>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</si>
  <si>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</si>
  <si>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</si>
  <si>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</si>
  <si>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</si>
  <si>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</si>
  <si>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</si>
  <si>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</si>
  <si>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</si>
  <si>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</si>
  <si>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</si>
  <si>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</si>
  <si>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</si>
  <si>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</si>
  <si>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</si>
  <si>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</si>
  <si>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</si>
  <si>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</si>
  <si>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</si>
  <si>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</si>
  <si>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</si>
  <si>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</si>
  <si>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</si>
  <si>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</si>
  <si>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</si>
  <si>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</si>
  <si>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</si>
  <si>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</si>
  <si>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</si>
  <si>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</si>
  <si>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</si>
  <si>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</si>
  <si>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Priority</t>
  </si>
  <si>
    <t>Transaction Count</t>
  </si>
  <si>
    <t>Total Amount</t>
  </si>
  <si>
    <t>% of Total Transactions</t>
  </si>
  <si>
    <t>URGENT</t>
  </si>
  <si>
    <t>HIGH</t>
  </si>
  <si>
    <t>MEDIUM</t>
  </si>
  <si>
    <t>LOW</t>
  </si>
  <si>
    <t>Count of transaction_id</t>
  </si>
  <si>
    <t>HIGH_RISK</t>
  </si>
  <si>
    <t>NORMAL</t>
  </si>
  <si>
    <t>Grand Total</t>
  </si>
  <si>
    <t>Sum of amount</t>
  </si>
  <si>
    <t>#N/A</t>
  </si>
  <si>
    <t>transaction_count</t>
  </si>
  <si>
    <t>total_amount</t>
  </si>
  <si>
    <t>avg_amount</t>
  </si>
  <si>
    <t>decline_count</t>
  </si>
  <si>
    <t>decline_rate</t>
  </si>
  <si>
    <t>night_transaction_rate</t>
  </si>
  <si>
    <t>high_risk_count</t>
  </si>
  <si>
    <t>high_decline_flag</t>
  </si>
  <si>
    <t>night_activity_flag</t>
  </si>
  <si>
    <t>high_risk_tx_flag</t>
  </si>
  <si>
    <t>high_activity_flag</t>
  </si>
  <si>
    <t>risk_score</t>
  </si>
  <si>
    <t>Count of customer_id</t>
  </si>
  <si>
    <t>review_result</t>
  </si>
  <si>
    <t>review_reason</t>
  </si>
  <si>
    <t>CONFIRMED_RISK</t>
  </si>
  <si>
    <t>high amount+night+crypto+declined</t>
  </si>
  <si>
    <t>PENDING</t>
  </si>
  <si>
    <t>only crypto+declined</t>
  </si>
  <si>
    <t>high amount+gambling+declined</t>
  </si>
  <si>
    <t>high amount+night</t>
  </si>
  <si>
    <t>high amount+nigh+declined</t>
  </si>
  <si>
    <t>high amount+night+declined</t>
  </si>
  <si>
    <t>high amount+gambling+night</t>
  </si>
  <si>
    <t>high amount+crypto+night</t>
  </si>
  <si>
    <t>amount=3300+night</t>
  </si>
  <si>
    <t>very high amount+gambling+declined</t>
  </si>
  <si>
    <t>only declined gambling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</si>
</sst>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0.0%"/>
  </numFmts>
  <fonts count="7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0"/>
      <color theme="1"/>
      <name val="Liberation Sans"/>
      <charset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/>
      <top style="thin">
        <color rgb="FFC4C7C5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0" fillId="0" borderId="0" xfId="0" applyNumberFormat="1"/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3" fillId="2" borderId="3" xfId="0" applyFont="1" applyFill="1" applyBorder="1" applyAlignment="1">
      <alignment readingOrder="1"/>
    </xf>
    <xf numFmtId="10" fontId="3" fillId="2" borderId="2" xfId="0" applyNumberFormat="1" applyFont="1" applyFill="1" applyBorder="1" applyAlignment="1">
      <alignment readingOrder="1"/>
    </xf>
    <xf numFmtId="0" fontId="4" fillId="0" borderId="0" xfId="0" applyFont="1"/>
    <xf numFmtId="22" fontId="4" fillId="0" borderId="0" xfId="0" applyNumberFormat="1" applyFont="1"/>
    <xf numFmtId="0" fontId="0" fillId="0" borderId="0" xfId="0" pivotButton="1"/>
    <xf numFmtId="164" fontId="0" fillId="0" borderId="0" xfId="0" applyNumberFormat="1"/>
    <xf numFmtId="164" fontId="3" fillId="2" borderId="3" xfId="0" applyNumberFormat="1" applyFont="1" applyFill="1" applyBorder="1" applyAlignment="1">
      <alignment readingOrder="1"/>
    </xf>
    <xf numFmtId="164" fontId="3" fillId="0" borderId="3" xfId="0" applyNumberFormat="1" applyFont="1" applyBorder="1" applyAlignment="1">
      <alignment readingOrder="1"/>
    </xf>
    <xf numFmtId="0" fontId="0" fillId="2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0" fillId="0" borderId="4" xfId="0" applyFont="1" applyBorder="1" applyAlignment="1">
      <alignment horizontal="right"/>
    </xf>
    <xf numFmtId="10" fontId="0" fillId="0" borderId="0" xfId="0" applyNumberFormat="1"/>
    <xf numFmtId="0" fontId="0" fillId="0" borderId="0" xfId="0" applyFont="1" applyBorder="1" applyAlignment="1">
      <alignment horizontal="right"/>
    </xf>
    <xf numFmtId="0" fontId="0" fillId="2" borderId="0" xfId="0" applyFont="1" applyFill="1" applyBorder="1" applyAlignment="1">
      <alignment horizontal="right"/>
    </xf>
    <xf numFmtId="0" fontId="0" fillId="0" borderId="0" xfId="0" applyFont="1"/>
    <xf numFmtId="0" fontId="0" fillId="2" borderId="0" xfId="0" applyFont="1" applyFill="1"/>
    <xf numFmtId="0" fontId="4" fillId="2" borderId="0" xfId="0" applyFont="1" applyFill="1"/>
    <xf numFmtId="10" fontId="0" fillId="0" borderId="0" xfId="0" applyNumberFormat="1" applyFont="1"/>
    <xf numFmtId="0" fontId="5" fillId="3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0" fillId="0" borderId="0" xfId="0" applyBorder="1"/>
    <xf numFmtId="0" fontId="6" fillId="0" borderId="0" xfId="0" applyFon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64" formatCode="&quot;£&quot;#,##0"/>
    </dxf>
    <dxf>
      <numFmt numFmtId="164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&quot;£&quot;#,##0.00"/>
    </dxf>
    <dxf>
      <numFmt numFmtId="164" formatCode="&quot;£&quot;#,##0"/>
    </dxf>
    <dxf>
      <numFmt numFmtId="164" formatCode="&quot;£&quot;#,##0"/>
    </dxf>
    <dxf>
      <numFmt numFmtId="164" formatCode="&quot;£&quot;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[Bank_Risk_Profiling.xlsx]Rule Effectiveness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HIGH_RISK Transactions by Merchant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'Rule Effectiveness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'Rule Effectiveness Analysis'!$A$4:$A$9</c:f>
              <c:strCache>
                <c:ptCount val="5"/>
                <c:pt idx="0">
                  <c:v>Crypto</c:v>
                </c:pt>
                <c:pt idx="1">
                  <c:v>Electronics</c:v>
                </c:pt>
                <c:pt idx="2">
                  <c:v>Gambling</c:v>
                </c:pt>
                <c:pt idx="3">
                  <c:v>Retail</c:v>
                </c:pt>
                <c:pt idx="4">
                  <c:v>Travel</c:v>
                </c:pt>
              </c:strCache>
            </c:strRef>
          </c:cat>
          <c:val>
            <c:numRef>
              <c:f>'Rule Effectiveness Analysis'!$B$4:$B$9</c:f>
              <c:numCache>
                <c:formatCode>General</c:formatCode>
                <c:ptCount val="5"/>
                <c:pt idx="0">
                  <c:v>17</c:v>
                </c:pt>
                <c:pt idx="1">
                  <c:v>11</c:v>
                </c:pt>
                <c:pt idx="2">
                  <c:v>18</c:v>
                </c:pt>
                <c:pt idx="3">
                  <c:v>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3-48FB-B227-4B3218F31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608135"/>
        <c:axId val="1970663943"/>
      </c:barChart>
      <c:catAx>
        <c:axId val="191460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63943"/>
        <c:crosses val="autoZero"/>
        <c:auto val="1"/>
        <c:lblAlgn val="ctr"/>
        <c:lblOffset val="100"/>
        <c:noMultiLvlLbl val="0"/>
      </c:catAx>
      <c:valAx>
        <c:axId val="197066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8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Dashboard!$H$5</c:f>
              <c:strCache>
                <c:ptCount val="1"/>
                <c:pt idx="0">
                  <c:v>HIGH_RISK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Dashboard!$G$6:$G$11</c:f>
              <c:strCache>
                <c:ptCount val="6"/>
                <c:pt idx="0">
                  <c:v>Corporate</c:v>
                </c:pt>
                <c:pt idx="1">
                  <c:v>Crypto</c:v>
                </c:pt>
                <c:pt idx="2">
                  <c:v>Electronics</c:v>
                </c:pt>
                <c:pt idx="3">
                  <c:v>Gambling</c:v>
                </c:pt>
                <c:pt idx="4">
                  <c:v>Retail</c:v>
                </c:pt>
                <c:pt idx="5">
                  <c:v>Travel</c:v>
                </c:pt>
              </c:strCache>
            </c:strRef>
          </c:cat>
          <c:val>
            <c:numRef>
              <c:f>Dashboard!$H$6:$H$11</c:f>
              <c:numCache>
                <c:formatCode>0.00%</c:formatCode>
                <c:ptCount val="6"/>
                <c:pt idx="0">
                  <c:v>0</c:v>
                </c:pt>
                <c:pt idx="1">
                  <c:v>0.53125</c:v>
                </c:pt>
                <c:pt idx="2">
                  <c:v>0.25</c:v>
                </c:pt>
                <c:pt idx="3">
                  <c:v>0.47368421052631576</c:v>
                </c:pt>
                <c:pt idx="4">
                  <c:v>7.4999999999999997E-2</c:v>
                </c:pt>
                <c:pt idx="5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9-42D2-9226-CE46FEDF8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975431"/>
        <c:axId val="1913272327"/>
      </c:barChart>
      <c:catAx>
        <c:axId val="1895975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72327"/>
        <c:crosses val="autoZero"/>
        <c:auto val="1"/>
        <c:lblAlgn val="ctr"/>
        <c:lblOffset val="100"/>
        <c:noMultiLvlLbl val="0"/>
      </c:catAx>
      <c:valAx>
        <c:axId val="191327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75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[Bank_Risk_Profiling.xlsx]Customer_Risk_Profile!PivotTable5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by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Customer_Risk_Profile!$D$24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Customer_Risk_Profile!$C$25:$C$29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Customer_Risk_Profile!$D$25:$D$29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7-4CC1-A9AF-C924D15C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970311"/>
        <c:axId val="1895976455"/>
      </c:barChart>
      <c:catAx>
        <c:axId val="1895970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76455"/>
        <c:crosses val="autoZero"/>
        <c:auto val="1"/>
        <c:lblAlgn val="ctr"/>
        <c:lblOffset val="100"/>
        <c:noMultiLvlLbl val="0"/>
      </c:catAx>
      <c:valAx>
        <c:axId val="1895976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70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[Bank_Risk_Profiling.xlsx]Risk by Channel!PivotTable1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 Amount by Channel &amp; Risk Flag</a:t>
            </a:r>
          </a:p>
        </c:rich>
      </c:tx>
      <c:layout>
        <c:manualLayout>
          <c:xMode val="edge"/>
          <c:yMode val="edge"/>
          <c:x val="0.13988009050824823"/>
          <c:y val="2.556796140940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by Channel'!$B$3:$B$4</c:f>
              <c:strCache>
                <c:ptCount val="1"/>
                <c:pt idx="0">
                  <c:v>HIGH_RISK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by Channel'!$A$5:$A$10</c:f>
              <c:strCache>
                <c:ptCount val="5"/>
                <c:pt idx="0">
                  <c:v>ATM</c:v>
                </c:pt>
                <c:pt idx="1">
                  <c:v>MOBILE</c:v>
                </c:pt>
                <c:pt idx="2">
                  <c:v>ONLINE</c:v>
                </c:pt>
                <c:pt idx="3">
                  <c:v>POS</c:v>
                </c:pt>
                <c:pt idx="4">
                  <c:v>#N/A</c:v>
                </c:pt>
              </c:strCache>
            </c:strRef>
          </c:cat>
          <c:val>
            <c:numRef>
              <c:f>'Risk by Channel'!$B$5:$B$10</c:f>
              <c:numCache>
                <c:formatCode>"£"#,##0</c:formatCode>
                <c:ptCount val="5"/>
                <c:pt idx="0">
                  <c:v>69927</c:v>
                </c:pt>
                <c:pt idx="1">
                  <c:v>74043</c:v>
                </c:pt>
                <c:pt idx="2">
                  <c:v>224820</c:v>
                </c:pt>
                <c:pt idx="3">
                  <c:v>109037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4-4EBB-AE50-F2D9ACBF9922}"/>
            </c:ext>
          </c:extLst>
        </c:ser>
        <c:ser>
          <c:idx val="1"/>
          <c:order val="1"/>
          <c:tx>
            <c:strRef>
              <c:f>'Risk by Channel'!$C$3:$C$4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'Risk by Channel'!$A$5:$A$10</c:f>
              <c:strCache>
                <c:ptCount val="5"/>
                <c:pt idx="0">
                  <c:v>ATM</c:v>
                </c:pt>
                <c:pt idx="1">
                  <c:v>MOBILE</c:v>
                </c:pt>
                <c:pt idx="2">
                  <c:v>ONLINE</c:v>
                </c:pt>
                <c:pt idx="3">
                  <c:v>POS</c:v>
                </c:pt>
                <c:pt idx="4">
                  <c:v>#N/A</c:v>
                </c:pt>
              </c:strCache>
            </c:strRef>
          </c:cat>
          <c:val>
            <c:numRef>
              <c:f>'Risk by Channel'!$C$5:$C$10</c:f>
              <c:numCache>
                <c:formatCode>"£"#,##0</c:formatCode>
                <c:ptCount val="5"/>
                <c:pt idx="0">
                  <c:v>83947</c:v>
                </c:pt>
                <c:pt idx="1">
                  <c:v>64204</c:v>
                </c:pt>
                <c:pt idx="2">
                  <c:v>182693</c:v>
                </c:pt>
                <c:pt idx="3">
                  <c:v>135343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A4-4EBB-AE50-F2D9ACBF9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49832"/>
        <c:axId val="36751880"/>
      </c:barChart>
      <c:catAx>
        <c:axId val="3674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1880"/>
        <c:crosses val="autoZero"/>
        <c:auto val="1"/>
        <c:lblAlgn val="ctr"/>
        <c:lblOffset val="100"/>
        <c:noMultiLvlLbl val="0"/>
      </c:catAx>
      <c:valAx>
        <c:axId val="3675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[Bank_Risk_Profiling.xlsx]Priority by Segment!PivotTable2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 Count by Customer Segment and Manual Review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'Priority by Segment'!$B$3:$B$4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'Priority by Segment'!$A$5:$A$8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VIP</c:v>
                </c:pt>
              </c:strCache>
            </c:strRef>
          </c:cat>
          <c:val>
            <c:numRef>
              <c:f>'Priority by Segment'!$B$5:$B$8</c:f>
              <c:numCache>
                <c:formatCode>General</c:formatCode>
                <c:ptCount val="3"/>
                <c:pt idx="0">
                  <c:v>19</c:v>
                </c:pt>
                <c:pt idx="1">
                  <c:v>60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1-4D5C-B0C0-00AF6066DDB3}"/>
            </c:ext>
          </c:extLst>
        </c:ser>
        <c:ser>
          <c:idx val="1"/>
          <c:order val="1"/>
          <c:tx>
            <c:strRef>
              <c:f>'Priority by Segment'!$C$3:$C$4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'Priority by Segment'!$A$5:$A$8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VIP</c:v>
                </c:pt>
              </c:strCache>
            </c:strRef>
          </c:cat>
          <c:val>
            <c:numRef>
              <c:f>'Priority by Segment'!$C$5:$C$8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1-4D5C-B0C0-00AF6066DDB3}"/>
            </c:ext>
          </c:extLst>
        </c:ser>
        <c:ser>
          <c:idx val="2"/>
          <c:order val="2"/>
          <c:tx>
            <c:strRef>
              <c:f>'Priority by Segment'!$D$3:$D$4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'Priority by Segment'!$A$5:$A$8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VIP</c:v>
                </c:pt>
              </c:strCache>
            </c:strRef>
          </c:cat>
          <c:val>
            <c:numRef>
              <c:f>'Priority by Segment'!$D$5:$D$8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1-4D5C-B0C0-00AF6066DDB3}"/>
            </c:ext>
          </c:extLst>
        </c:ser>
        <c:ser>
          <c:idx val="3"/>
          <c:order val="3"/>
          <c:tx>
            <c:strRef>
              <c:f>'Priority by Segment'!$E$3:$E$4</c:f>
              <c:strCache>
                <c:ptCount val="1"/>
                <c:pt idx="0">
                  <c:v>URGENT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'Priority by Segment'!$A$5:$A$8</c:f>
              <c:strCache>
                <c:ptCount val="3"/>
                <c:pt idx="0">
                  <c:v>Corporate</c:v>
                </c:pt>
                <c:pt idx="1">
                  <c:v>Retail</c:v>
                </c:pt>
                <c:pt idx="2">
                  <c:v>VIP</c:v>
                </c:pt>
              </c:strCache>
            </c:strRef>
          </c:cat>
          <c:val>
            <c:numRef>
              <c:f>'Priority by Segment'!$E$5:$E$8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21-4D5C-B0C0-00AF6066D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9784"/>
        <c:axId val="27048456"/>
      </c:barChart>
      <c:catAx>
        <c:axId val="19339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48456"/>
        <c:crosses val="autoZero"/>
        <c:auto val="1"/>
        <c:lblAlgn val="ctr"/>
        <c:lblOffset val="100"/>
        <c:noMultiLvlLbl val="0"/>
      </c:catAx>
      <c:valAx>
        <c:axId val="2704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2</xdr:row>
      <xdr:rowOff>171450</xdr:rowOff>
    </xdr:from>
    <xdr:to>
      <xdr:col>4</xdr:col>
      <xdr:colOff>600075</xdr:colOff>
      <xdr:row>18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F89737B-8342-E7ED-2CD1-C18A8DF25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1219200</xdr:colOff>
      <xdr:row>2</xdr:row>
      <xdr:rowOff>171450</xdr:rowOff>
    </xdr:from>
    <xdr:to>
      <xdr:col>13</xdr:col>
      <xdr:colOff>0</xdr:colOff>
      <xdr:row>18</xdr:row>
      <xdr:rowOff>9525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9C9C464-5BAC-BB1A-4899-DAA64DB88B29}"/>
            </a:ext>
            <a:ext uri="{147F2762-F138-4A5C-976F-8EAC2B608ADB}">
              <a16:predDERef xmlns:a16="http://schemas.microsoft.com/office/drawing/2014/main" pred="{FF89737B-8342-E7ED-2CD1-C18A8DF25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1076325</xdr:colOff>
      <xdr:row>18</xdr:row>
      <xdr:rowOff>180975</xdr:rowOff>
    </xdr:from>
    <xdr:to>
      <xdr:col>4</xdr:col>
      <xdr:colOff>1457325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210ECF-4C16-4C93-A8C0-4BD1133A96F7}"/>
            </a:ext>
            <a:ext uri="{147F2762-F138-4A5C-976F-8EAC2B608ADB}">
              <a16:predDERef xmlns:a16="http://schemas.microsoft.com/office/drawing/2014/main" pred="{09C9C464-5BAC-BB1A-4899-DAA64DB88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962025</xdr:colOff>
      <xdr:row>1</xdr:row>
      <xdr:rowOff>152400</xdr:rowOff>
    </xdr:from>
    <xdr:to>
      <xdr:col>8</xdr:col>
      <xdr:colOff>19050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A109D-4971-A8A7-A23A-CEA0AC5EF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752475</xdr:colOff>
      <xdr:row>1</xdr:row>
      <xdr:rowOff>171450</xdr:rowOff>
    </xdr:from>
    <xdr:to>
      <xdr:col>13</xdr:col>
      <xdr:colOff>600075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09295-4452-6F50-F66A-482B1044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791889120374" createdVersion="8" refreshedVersion="8" minRefreshableVersion="3" recordCount="200" xr:uid="{574A1B57-B56C-44CF-A93A-79F8A32B91CB}">
  <cacheSource type="worksheet">
    <worksheetSource name="TransactionsTable"/>
  </cacheSource>
  <cacheFields count="14">
    <cacheField name="transaction_id" numFmtId="0">
      <sharedItems/>
    </cacheField>
    <cacheField name="transaction_timestamp" numFmtId="22">
      <sharedItems containsSemiMixedTypes="0" containsNonDate="0" containsDate="1" containsString="0" minDate="2026-03-01T02:14:00" maxDate="2026-03-31T21:16:45"/>
    </cacheField>
    <cacheField name="customer_id" numFmtId="0">
      <sharedItems/>
    </cacheField>
    <cacheField name="channel_id" numFmtId="0">
      <sharedItems/>
    </cacheField>
    <cacheField name="amount" numFmtId="0">
      <sharedItems containsSemiMixedTypes="0" containsString="0" containsNumber="1" containsInteger="1" minValue="66" maxValue="19604"/>
    </cacheField>
    <cacheField name="status" numFmtId="0">
      <sharedItems/>
    </cacheField>
    <cacheField name="is_night_transaction" numFmtId="0">
      <sharedItems containsSemiMixedTypes="0" containsString="0" containsNumber="1" containsInteger="1" minValue="0" maxValue="1"/>
    </cacheField>
    <cacheField name="merchant_category" numFmtId="0">
      <sharedItems count="6">
        <s v="Retail"/>
        <s v="Electronics"/>
        <s v="Crypto"/>
        <s v="Travel"/>
        <s v="Gambling"/>
        <s v="Corporate"/>
      </sharedItems>
    </cacheField>
    <cacheField name="customer_segment" numFmtId="0">
      <sharedItems count="3">
        <s v="VIP"/>
        <s v="Retail"/>
        <s v="Corporate"/>
      </sharedItems>
    </cacheField>
    <cacheField name="channel_name" numFmtId="0">
      <sharedItems count="5">
        <e v="#N/A"/>
        <s v="ONLINE"/>
        <s v="ATM"/>
        <s v="MOBILE"/>
        <s v="POS"/>
      </sharedItems>
    </cacheField>
    <cacheField name="account_age_days" numFmtId="0">
      <sharedItems containsSemiMixedTypes="0" containsString="0" containsNumber="1" containsInteger="1" minValue="8" maxValue="2100"/>
    </cacheField>
    <cacheField name="risk_flag" numFmtId="0">
      <sharedItems count="2">
        <s v="NORMAL"/>
        <s v="HIGH_RISK"/>
      </sharedItems>
    </cacheField>
    <cacheField name="manual_review_priority" numFmtId="0">
      <sharedItems count="4">
        <s v="LOW"/>
        <s v="MEDIUM"/>
        <s v="HIGH"/>
        <s v="URGENT"/>
      </sharedItems>
    </cacheField>
    <cacheField name="customer_risk_score" numFmtId="0">
      <sharedItems containsSemiMixedTypes="0" containsString="0" containsNumber="1" containsInteger="1" minValue="0" maxValue="3" count="4">
        <n v="1"/>
        <n v="3"/>
        <n v="2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799806712967" createdVersion="8" refreshedVersion="8" minRefreshableVersion="3" recordCount="20" xr:uid="{F386970E-D14C-48A7-9586-EF041315BE50}">
  <cacheSource type="worksheet">
    <worksheetSource name="Table5"/>
  </cacheSource>
  <cacheFields count="5">
    <cacheField name="transaction_id" numFmtId="0">
      <sharedItems/>
    </cacheField>
    <cacheField name="review_result" numFmtId="0">
      <sharedItems count="2">
        <s v="CONFIRMED_RISK"/>
        <s v="PENDING"/>
      </sharedItems>
    </cacheField>
    <cacheField name="review_reason" numFmtId="0">
      <sharedItems/>
    </cacheField>
    <cacheField name="manual_review_priority" numFmtId="0">
      <sharedItems count="2">
        <s v="HIGH"/>
        <s v="URGENT"/>
      </sharedItems>
    </cacheField>
    <cacheField name="customer_risk_score" numFmtId="0">
      <sharedItems containsSemiMixedTypes="0" containsString="0" containsNumber="1" containsInteger="1" minValue="0" maxValue="3" count="4">
        <n v="2"/>
        <n v="3"/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840219328704" createdVersion="8" refreshedVersion="8" minRefreshableVersion="3" recordCount="20" xr:uid="{C5D90CBE-1E3C-4E66-BAC4-9380C9738196}">
  <cacheSource type="worksheet">
    <worksheetSource name="Table4"/>
  </cacheSource>
  <cacheFields count="13">
    <cacheField name="customer_id" numFmtId="0">
      <sharedItems/>
    </cacheField>
    <cacheField name="transaction_count" numFmtId="0">
      <sharedItems containsSemiMixedTypes="0" containsString="0" containsNumber="1" containsInteger="1" minValue="2" maxValue="21"/>
    </cacheField>
    <cacheField name="total_amount" numFmtId="164">
      <sharedItems containsSemiMixedTypes="0" containsString="0" containsNumber="1" containsInteger="1" minValue="15367" maxValue="101902"/>
    </cacheField>
    <cacheField name="avg_amount" numFmtId="164">
      <sharedItems containsSemiMixedTypes="0" containsString="0" containsNumber="1" minValue="2195.2857142857142" maxValue="8646.2727272727279"/>
    </cacheField>
    <cacheField name="decline_count" numFmtId="0">
      <sharedItems containsSemiMixedTypes="0" containsString="0" containsNumber="1" containsInteger="1" minValue="0" maxValue="7"/>
    </cacheField>
    <cacheField name="decline_rate" numFmtId="10">
      <sharedItems containsSemiMixedTypes="0" containsString="0" containsNumber="1" minValue="0" maxValue="0.42857142857142855"/>
    </cacheField>
    <cacheField name="night_transaction_rate" numFmtId="10">
      <sharedItems containsSemiMixedTypes="0" containsString="0" containsNumber="1" minValue="0" maxValue="0.8"/>
    </cacheField>
    <cacheField name="high_risk_count" numFmtId="0">
      <sharedItems containsSemiMixedTypes="0" containsString="0" containsNumber="1" containsInteger="1" minValue="0" maxValue="9"/>
    </cacheField>
    <cacheField name="high_decline_flag" numFmtId="0">
      <sharedItems/>
    </cacheField>
    <cacheField name="night_activity_flag" numFmtId="0">
      <sharedItems/>
    </cacheField>
    <cacheField name="high_risk_tx_flag" numFmtId="0">
      <sharedItems/>
    </cacheField>
    <cacheField name="high_activity_flag" numFmtId="0">
      <sharedItems/>
    </cacheField>
    <cacheField name="risk_score" numFmtId="0">
      <sharedItems containsSemiMixedTypes="0" containsString="0" containsNumber="1" containsInteger="1" minValue="0" maxValue="3" count="4">
        <n v="1"/>
        <n v="0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T1001"/>
    <d v="2026-03-01T08:00:00"/>
    <s v="C101"/>
    <s v="HIGH"/>
    <n v="600"/>
    <s v="ACCEPTED"/>
    <n v="0"/>
    <x v="0"/>
    <x v="0"/>
    <x v="0"/>
    <n v="1200"/>
    <x v="0"/>
    <x v="0"/>
    <x v="0"/>
  </r>
  <r>
    <s v="T1002"/>
    <d v="2026-03-01T09:30:00"/>
    <s v="C104"/>
    <s v="CH3"/>
    <n v="2500"/>
    <s v="DECLINED"/>
    <n v="0"/>
    <x v="1"/>
    <x v="1"/>
    <x v="1"/>
    <n v="15"/>
    <x v="0"/>
    <x v="1"/>
    <x v="1"/>
  </r>
  <r>
    <s v="T1003"/>
    <d v="2026-03-01T02:14:00"/>
    <s v="C107"/>
    <s v="CH3"/>
    <n v="4800"/>
    <s v="DECLINED"/>
    <n v="1"/>
    <x v="2"/>
    <x v="1"/>
    <x v="1"/>
    <n v="8"/>
    <x v="1"/>
    <x v="2"/>
    <x v="2"/>
  </r>
  <r>
    <s v="T1004"/>
    <d v="2026-03-01T11:45:00"/>
    <s v="C102"/>
    <s v="CH1"/>
    <n v="200"/>
    <s v="ACCEPTED"/>
    <n v="0"/>
    <x v="0"/>
    <x v="1"/>
    <x v="2"/>
    <n v="450"/>
    <x v="0"/>
    <x v="0"/>
    <x v="3"/>
  </r>
  <r>
    <s v="T1005"/>
    <d v="2026-03-01T14:20:00"/>
    <s v="C105"/>
    <s v="CH3"/>
    <n v="1200"/>
    <s v="ACCEPTED"/>
    <n v="0"/>
    <x v="3"/>
    <x v="1"/>
    <x v="1"/>
    <n v="320"/>
    <x v="0"/>
    <x v="0"/>
    <x v="2"/>
  </r>
  <r>
    <s v="T1006"/>
    <d v="2026-03-01T23:50:00"/>
    <s v="C104"/>
    <s v="CH3"/>
    <n v="3100"/>
    <s v="DECLINED"/>
    <n v="1"/>
    <x v="4"/>
    <x v="1"/>
    <x v="1"/>
    <n v="15"/>
    <x v="1"/>
    <x v="2"/>
    <x v="1"/>
  </r>
  <r>
    <s v="T1007"/>
    <d v="2026-03-02T01:10:00"/>
    <s v="C109"/>
    <s v="CH4"/>
    <n v="850"/>
    <s v="ACCEPTED"/>
    <n v="1"/>
    <x v="0"/>
    <x v="1"/>
    <x v="3"/>
    <n v="60"/>
    <x v="0"/>
    <x v="0"/>
    <x v="1"/>
  </r>
  <r>
    <s v="T1008"/>
    <d v="2026-03-02T03:25:00"/>
    <s v="C107"/>
    <s v="CH3"/>
    <n v="6200"/>
    <s v="DECLINED"/>
    <n v="1"/>
    <x v="2"/>
    <x v="1"/>
    <x v="1"/>
    <n v="8"/>
    <x v="1"/>
    <x v="2"/>
    <x v="2"/>
  </r>
  <r>
    <s v="T1009"/>
    <d v="2026-03-02T10:05:00"/>
    <s v="C103"/>
    <s v="CH2"/>
    <n v="15000"/>
    <s v="ACCEPTED"/>
    <n v="0"/>
    <x v="0"/>
    <x v="2"/>
    <x v="4"/>
    <n v="890"/>
    <x v="0"/>
    <x v="0"/>
    <x v="3"/>
  </r>
  <r>
    <s v="T1010"/>
    <d v="2026-03-02T13:15:00"/>
    <s v="C106"/>
    <s v="CH3"/>
    <n v="4500"/>
    <s v="ACCEPTED"/>
    <n v="0"/>
    <x v="3"/>
    <x v="0"/>
    <x v="1"/>
    <n v="2100"/>
    <x v="0"/>
    <x v="0"/>
    <x v="0"/>
  </r>
  <r>
    <s v="T1011"/>
    <d v="2026-03-02T16:40:00"/>
    <s v="C105"/>
    <s v="CH2"/>
    <n v="90"/>
    <s v="ACCEPTED"/>
    <n v="0"/>
    <x v="0"/>
    <x v="1"/>
    <x v="4"/>
    <n v="320"/>
    <x v="0"/>
    <x v="0"/>
    <x v="2"/>
  </r>
  <r>
    <s v="T1012"/>
    <d v="2026-03-02T22:10:00"/>
    <s v="C108"/>
    <s v="CH3"/>
    <n v="12000"/>
    <s v="ACCEPTED"/>
    <n v="0"/>
    <x v="5"/>
    <x v="2"/>
    <x v="1"/>
    <n v="1400"/>
    <x v="0"/>
    <x v="0"/>
    <x v="3"/>
  </r>
  <r>
    <s v="T1013"/>
    <d v="2026-03-03T04:05:00"/>
    <s v="C104"/>
    <s v="CH3"/>
    <n v="1900"/>
    <s v="DECLINED"/>
    <n v="1"/>
    <x v="4"/>
    <x v="1"/>
    <x v="1"/>
    <n v="15"/>
    <x v="1"/>
    <x v="2"/>
    <x v="1"/>
  </r>
  <r>
    <s v="T1014"/>
    <d v="2026-03-03T08:50:00"/>
    <s v="C101"/>
    <s v="CH4"/>
    <n v="320"/>
    <s v="ACCEPTED"/>
    <n v="0"/>
    <x v="0"/>
    <x v="0"/>
    <x v="3"/>
    <n v="1200"/>
    <x v="0"/>
    <x v="0"/>
    <x v="0"/>
  </r>
  <r>
    <s v="T1015"/>
    <d v="2026-03-03T12:30:00"/>
    <s v="C110"/>
    <s v="CH2"/>
    <n v="2100"/>
    <s v="ACCEPTED"/>
    <n v="0"/>
    <x v="1"/>
    <x v="0"/>
    <x v="4"/>
    <n v="950"/>
    <x v="0"/>
    <x v="0"/>
    <x v="0"/>
  </r>
  <r>
    <s v="T1016"/>
    <d v="2026-03-03T15:10:00"/>
    <s v="C102"/>
    <s v="CH3"/>
    <n v="450"/>
    <s v="ACCEPTED"/>
    <n v="0"/>
    <x v="0"/>
    <x v="1"/>
    <x v="1"/>
    <n v="450"/>
    <x v="0"/>
    <x v="0"/>
    <x v="3"/>
  </r>
  <r>
    <s v="T1017"/>
    <d v="2026-03-03T19:45:00"/>
    <s v="C109"/>
    <s v="CH3"/>
    <n v="1100"/>
    <s v="DECLINED"/>
    <n v="0"/>
    <x v="2"/>
    <x v="1"/>
    <x v="1"/>
    <n v="60"/>
    <x v="1"/>
    <x v="2"/>
    <x v="1"/>
  </r>
  <r>
    <s v="T1018"/>
    <d v="2026-03-03T23:15:00"/>
    <s v="C107"/>
    <s v="CH1"/>
    <n v="1000"/>
    <s v="ACCEPTED"/>
    <n v="1"/>
    <x v="0"/>
    <x v="1"/>
    <x v="2"/>
    <n v="8"/>
    <x v="0"/>
    <x v="0"/>
    <x v="2"/>
  </r>
  <r>
    <s v="T1019"/>
    <d v="2026-03-04T01:40:00"/>
    <s v="C105"/>
    <s v="CH3"/>
    <n v="3500"/>
    <s v="DECLINED"/>
    <n v="1"/>
    <x v="4"/>
    <x v="1"/>
    <x v="1"/>
    <n v="320"/>
    <x v="1"/>
    <x v="2"/>
    <x v="2"/>
  </r>
  <r>
    <s v="T1020"/>
    <d v="2026-03-04T07:20:00"/>
    <s v="C103"/>
    <s v="CH2"/>
    <n v="8400"/>
    <s v="ACCEPTED"/>
    <n v="0"/>
    <x v="0"/>
    <x v="2"/>
    <x v="4"/>
    <n v="890"/>
    <x v="0"/>
    <x v="0"/>
    <x v="3"/>
  </r>
  <r>
    <s v="T1021"/>
    <d v="2026-03-04T10:00:00"/>
    <s v="C106"/>
    <s v="CH4"/>
    <n v="120"/>
    <s v="ACCEPTED"/>
    <n v="0"/>
    <x v="0"/>
    <x v="0"/>
    <x v="3"/>
    <n v="2100"/>
    <x v="0"/>
    <x v="0"/>
    <x v="0"/>
  </r>
  <r>
    <s v="T1022"/>
    <d v="2026-03-04T14:15:00"/>
    <s v="C108"/>
    <s v="CH3"/>
    <n v="15500"/>
    <s v="DECLINED"/>
    <n v="0"/>
    <x v="5"/>
    <x v="2"/>
    <x v="1"/>
    <n v="1400"/>
    <x v="0"/>
    <x v="1"/>
    <x v="3"/>
  </r>
  <r>
    <s v="T1023"/>
    <d v="2026-03-04T18:30:00"/>
    <s v="C104"/>
    <s v="CH3"/>
    <n v="4200"/>
    <s v="DECLINED"/>
    <n v="0"/>
    <x v="2"/>
    <x v="1"/>
    <x v="1"/>
    <n v="15"/>
    <x v="1"/>
    <x v="2"/>
    <x v="1"/>
  </r>
  <r>
    <s v="T1024"/>
    <d v="2026-03-04T21:05:00"/>
    <s v="C110"/>
    <s v="CH3"/>
    <n v="950"/>
    <s v="ACCEPTED"/>
    <n v="0"/>
    <x v="3"/>
    <x v="0"/>
    <x v="1"/>
    <n v="950"/>
    <x v="0"/>
    <x v="0"/>
    <x v="0"/>
  </r>
  <r>
    <s v="T1025"/>
    <d v="2026-03-05T02:50:00"/>
    <s v="C107"/>
    <s v="CH3"/>
    <n v="5100"/>
    <s v="DECLINED"/>
    <n v="1"/>
    <x v="2"/>
    <x v="1"/>
    <x v="1"/>
    <n v="8"/>
    <x v="1"/>
    <x v="2"/>
    <x v="2"/>
  </r>
  <r>
    <s v="T1026"/>
    <d v="2026-03-05T08:10:00"/>
    <s v="C101"/>
    <s v="CH2"/>
    <n v="120"/>
    <s v="ACCEPTED"/>
    <n v="0"/>
    <x v="0"/>
    <x v="0"/>
    <x v="4"/>
    <n v="1200"/>
    <x v="0"/>
    <x v="0"/>
    <x v="0"/>
  </r>
  <r>
    <s v="T1027"/>
    <d v="2026-03-05T11:45:00"/>
    <s v="C102"/>
    <s v="CH3"/>
    <n v="8900"/>
    <s v="DECLINED"/>
    <n v="0"/>
    <x v="2"/>
    <x v="1"/>
    <x v="1"/>
    <n v="450"/>
    <x v="1"/>
    <x v="2"/>
    <x v="3"/>
  </r>
  <r>
    <s v="T1028"/>
    <d v="2026-03-05T14:20:00"/>
    <s v="C105"/>
    <s v="CH1"/>
    <n v="450"/>
    <s v="ACCEPTED"/>
    <n v="0"/>
    <x v="0"/>
    <x v="1"/>
    <x v="2"/>
    <n v="320"/>
    <x v="0"/>
    <x v="0"/>
    <x v="2"/>
  </r>
  <r>
    <s v="T1029"/>
    <d v="2026-03-05T19:15:00"/>
    <s v="C108"/>
    <s v="CH3"/>
    <n v="12500"/>
    <s v="DECLINED"/>
    <n v="0"/>
    <x v="4"/>
    <x v="2"/>
    <x v="1"/>
    <n v="1400"/>
    <x v="1"/>
    <x v="3"/>
    <x v="3"/>
  </r>
  <r>
    <s v="T1030"/>
    <d v="2026-03-05T23:50:00"/>
    <s v="C104"/>
    <s v="CH3"/>
    <n v="4200"/>
    <s v="ACCEPTED"/>
    <n v="0"/>
    <x v="3"/>
    <x v="1"/>
    <x v="1"/>
    <n v="15"/>
    <x v="0"/>
    <x v="0"/>
    <x v="1"/>
  </r>
  <r>
    <s v="T1031"/>
    <d v="2026-03-06T01:15:00"/>
    <s v="C107"/>
    <s v="CH3"/>
    <n v="6800"/>
    <s v="DECLINED"/>
    <n v="1"/>
    <x v="2"/>
    <x v="1"/>
    <x v="1"/>
    <n v="8"/>
    <x v="1"/>
    <x v="2"/>
    <x v="2"/>
  </r>
  <r>
    <s v="T1032"/>
    <d v="2026-03-06T03:40:00"/>
    <s v="C109"/>
    <s v="CH3"/>
    <n v="3100"/>
    <s v="ACCEPTED"/>
    <n v="1"/>
    <x v="4"/>
    <x v="1"/>
    <x v="1"/>
    <n v="60"/>
    <x v="1"/>
    <x v="2"/>
    <x v="1"/>
  </r>
  <r>
    <s v="T1033"/>
    <d v="2026-03-06T07:20:00"/>
    <s v="C103"/>
    <s v="CH2"/>
    <n v="15000"/>
    <s v="ACCEPTED"/>
    <n v="0"/>
    <x v="1"/>
    <x v="2"/>
    <x v="4"/>
    <n v="890"/>
    <x v="0"/>
    <x v="0"/>
    <x v="3"/>
  </r>
  <r>
    <s v="T1034"/>
    <d v="2026-03-06T10:05:00"/>
    <s v="C106"/>
    <s v="CH4"/>
    <n v="85"/>
    <s v="ACCEPTED"/>
    <n v="0"/>
    <x v="0"/>
    <x v="0"/>
    <x v="3"/>
    <n v="2100"/>
    <x v="0"/>
    <x v="0"/>
    <x v="0"/>
  </r>
  <r>
    <s v="T1035"/>
    <d v="2026-03-06T13:30:00"/>
    <s v="C110"/>
    <s v="CH3"/>
    <n v="2900"/>
    <s v="DECLINED"/>
    <n v="0"/>
    <x v="2"/>
    <x v="0"/>
    <x v="1"/>
    <n v="950"/>
    <x v="1"/>
    <x v="3"/>
    <x v="0"/>
  </r>
  <r>
    <s v="T1036"/>
    <d v="2026-03-06T16:45:00"/>
    <s v="C101"/>
    <s v="CH3"/>
    <n v="5400"/>
    <s v="DECLINED"/>
    <n v="0"/>
    <x v="3"/>
    <x v="0"/>
    <x v="1"/>
    <n v="1200"/>
    <x v="0"/>
    <x v="1"/>
    <x v="0"/>
  </r>
  <r>
    <s v="T1037"/>
    <d v="2026-03-06T21:10:00"/>
    <s v="C105"/>
    <s v="CH1"/>
    <n v="300"/>
    <s v="ACCEPTED"/>
    <n v="0"/>
    <x v="0"/>
    <x v="1"/>
    <x v="2"/>
    <n v="320"/>
    <x v="0"/>
    <x v="0"/>
    <x v="2"/>
  </r>
  <r>
    <s v="T1038"/>
    <d v="2026-03-07T02:05:00"/>
    <s v="C104"/>
    <s v="CH3"/>
    <n v="7500"/>
    <s v="DECLINED"/>
    <n v="1"/>
    <x v="2"/>
    <x v="1"/>
    <x v="1"/>
    <n v="15"/>
    <x v="1"/>
    <x v="2"/>
    <x v="1"/>
  </r>
  <r>
    <s v="T1039"/>
    <d v="2026-03-07T05:30:00"/>
    <s v="C108"/>
    <s v="CH2"/>
    <n v="18000"/>
    <s v="ACCEPTED"/>
    <n v="1"/>
    <x v="1"/>
    <x v="2"/>
    <x v="4"/>
    <n v="1400"/>
    <x v="1"/>
    <x v="3"/>
    <x v="3"/>
  </r>
  <r>
    <s v="T1040"/>
    <d v="2026-03-07T09:15:00"/>
    <s v="C107"/>
    <s v="CH3"/>
    <n v="1100"/>
    <s v="ACCEPTED"/>
    <n v="0"/>
    <x v="0"/>
    <x v="1"/>
    <x v="1"/>
    <n v="8"/>
    <x v="0"/>
    <x v="0"/>
    <x v="2"/>
  </r>
  <r>
    <s v="T1041"/>
    <d v="2026-03-07T12:40:00"/>
    <s v="C102"/>
    <s v="CH4"/>
    <n v="210"/>
    <s v="ACCEPTED"/>
    <n v="0"/>
    <x v="0"/>
    <x v="1"/>
    <x v="3"/>
    <n v="450"/>
    <x v="0"/>
    <x v="0"/>
    <x v="3"/>
  </r>
  <r>
    <s v="T1042"/>
    <d v="2026-03-07T17:00:00"/>
    <s v="C109"/>
    <s v="CH3"/>
    <n v="9200"/>
    <s v="DECLINED"/>
    <n v="0"/>
    <x v="4"/>
    <x v="1"/>
    <x v="1"/>
    <n v="60"/>
    <x v="1"/>
    <x v="2"/>
    <x v="1"/>
  </r>
  <r>
    <s v="T1043"/>
    <d v="2026-03-07T22:15:00"/>
    <s v="C103"/>
    <s v="CH3"/>
    <n v="3400"/>
    <s v="ACCEPTED"/>
    <n v="0"/>
    <x v="3"/>
    <x v="2"/>
    <x v="1"/>
    <n v="890"/>
    <x v="0"/>
    <x v="0"/>
    <x v="3"/>
  </r>
  <r>
    <s v="T1044"/>
    <d v="2026-03-08T01:50:00"/>
    <s v="C106"/>
    <s v="CH3"/>
    <n v="5100"/>
    <s v="DECLINED"/>
    <n v="1"/>
    <x v="2"/>
    <x v="0"/>
    <x v="1"/>
    <n v="2100"/>
    <x v="1"/>
    <x v="3"/>
    <x v="0"/>
  </r>
  <r>
    <s v="T1045"/>
    <d v="2026-03-08T04:10:00"/>
    <s v="C110"/>
    <s v="CH1"/>
    <n v="500"/>
    <s v="ACCEPTED"/>
    <n v="1"/>
    <x v="0"/>
    <x v="0"/>
    <x v="2"/>
    <n v="950"/>
    <x v="0"/>
    <x v="0"/>
    <x v="0"/>
  </r>
  <r>
    <s v="T1046"/>
    <d v="2026-03-08T08:30:00"/>
    <s v="C101"/>
    <s v="CH2"/>
    <n v="11000"/>
    <s v="ACCEPTED"/>
    <n v="0"/>
    <x v="1"/>
    <x v="0"/>
    <x v="4"/>
    <n v="1200"/>
    <x v="0"/>
    <x v="0"/>
    <x v="0"/>
  </r>
  <r>
    <s v="T1047"/>
    <d v="2026-03-08T11:55:00"/>
    <s v="C105"/>
    <s v="CH3"/>
    <n v="2300"/>
    <s v="DECLINED"/>
    <n v="0"/>
    <x v="4"/>
    <x v="1"/>
    <x v="1"/>
    <n v="320"/>
    <x v="1"/>
    <x v="2"/>
    <x v="2"/>
  </r>
  <r>
    <s v="T1048"/>
    <d v="2026-03-08T15:20:00"/>
    <s v="C108"/>
    <s v="CH3"/>
    <n v="14200"/>
    <s v="DECLINED"/>
    <n v="0"/>
    <x v="2"/>
    <x v="2"/>
    <x v="1"/>
    <n v="1400"/>
    <x v="1"/>
    <x v="3"/>
    <x v="3"/>
  </r>
  <r>
    <s v="T1049"/>
    <d v="2026-03-08T19:40:00"/>
    <s v="C104"/>
    <s v="CH4"/>
    <n v="150"/>
    <s v="ACCEPTED"/>
    <n v="0"/>
    <x v="0"/>
    <x v="1"/>
    <x v="3"/>
    <n v="15"/>
    <x v="0"/>
    <x v="0"/>
    <x v="1"/>
  </r>
  <r>
    <s v="T1050"/>
    <d v="2026-03-08T23:10:00"/>
    <s v="C107"/>
    <s v="CH3"/>
    <n v="8100"/>
    <s v="ACCEPTED"/>
    <n v="0"/>
    <x v="4"/>
    <x v="1"/>
    <x v="1"/>
    <n v="8"/>
    <x v="0"/>
    <x v="0"/>
    <x v="2"/>
  </r>
  <r>
    <s v="T1051"/>
    <d v="2026-03-08T05:38:02"/>
    <s v="C111"/>
    <s v="CH1"/>
    <n v="5354"/>
    <s v="DECLINED"/>
    <n v="1"/>
    <x v="0"/>
    <x v="1"/>
    <x v="2"/>
    <n v="66"/>
    <x v="1"/>
    <x v="2"/>
    <x v="2"/>
  </r>
  <r>
    <s v="T1052"/>
    <d v="2026-03-08T07:25:30"/>
    <s v="C109"/>
    <s v="CH3"/>
    <n v="3530"/>
    <s v="ACCEPTED"/>
    <n v="0"/>
    <x v="4"/>
    <x v="1"/>
    <x v="1"/>
    <n v="60"/>
    <x v="0"/>
    <x v="0"/>
    <x v="1"/>
  </r>
  <r>
    <s v="T1053"/>
    <d v="2026-03-08T12:36:56"/>
    <s v="C112"/>
    <s v="CH3"/>
    <n v="15232"/>
    <s v="ACCEPTED"/>
    <n v="0"/>
    <x v="4"/>
    <x v="1"/>
    <x v="1"/>
    <n v="10"/>
    <x v="0"/>
    <x v="0"/>
    <x v="3"/>
  </r>
  <r>
    <s v="T1054"/>
    <d v="2026-03-08T21:53:04"/>
    <s v="C104"/>
    <s v="CH1"/>
    <n v="2873"/>
    <s v="ACCEPTED"/>
    <n v="0"/>
    <x v="4"/>
    <x v="1"/>
    <x v="2"/>
    <n v="15"/>
    <x v="0"/>
    <x v="0"/>
    <x v="1"/>
  </r>
  <r>
    <s v="T1055"/>
    <d v="2026-03-08T22:53:35"/>
    <s v="C101"/>
    <s v="CH1"/>
    <n v="2672"/>
    <s v="ACCEPTED"/>
    <n v="1"/>
    <x v="2"/>
    <x v="0"/>
    <x v="2"/>
    <n v="1200"/>
    <x v="0"/>
    <x v="0"/>
    <x v="0"/>
  </r>
  <r>
    <s v="T1056"/>
    <d v="2026-03-08T23:53:23"/>
    <s v="C109"/>
    <s v="CH3"/>
    <n v="9790"/>
    <s v="DECLINED"/>
    <n v="1"/>
    <x v="4"/>
    <x v="1"/>
    <x v="1"/>
    <n v="60"/>
    <x v="1"/>
    <x v="2"/>
    <x v="1"/>
  </r>
  <r>
    <s v="T1057"/>
    <d v="2026-03-09T03:17:22"/>
    <s v="C111"/>
    <s v="CH3"/>
    <n v="8731"/>
    <s v="ACCEPTED"/>
    <n v="1"/>
    <x v="0"/>
    <x v="1"/>
    <x v="1"/>
    <n v="66"/>
    <x v="1"/>
    <x v="2"/>
    <x v="2"/>
  </r>
  <r>
    <s v="T1058"/>
    <d v="2026-03-09T07:24:54"/>
    <s v="C118"/>
    <s v="CH1"/>
    <n v="17130"/>
    <s v="ACCEPTED"/>
    <n v="0"/>
    <x v="1"/>
    <x v="1"/>
    <x v="2"/>
    <n v="442"/>
    <x v="0"/>
    <x v="0"/>
    <x v="0"/>
  </r>
  <r>
    <s v="T1059"/>
    <d v="2026-03-09T16:37:25"/>
    <s v="C112"/>
    <s v="CH1"/>
    <n v="3437"/>
    <s v="ACCEPTED"/>
    <n v="0"/>
    <x v="3"/>
    <x v="1"/>
    <x v="2"/>
    <n v="10"/>
    <x v="0"/>
    <x v="0"/>
    <x v="3"/>
  </r>
  <r>
    <s v="T1060"/>
    <d v="2026-03-10T02:26:14"/>
    <s v="C112"/>
    <s v="CH2"/>
    <n v="16036"/>
    <s v="ACCEPTED"/>
    <n v="1"/>
    <x v="1"/>
    <x v="1"/>
    <x v="4"/>
    <n v="10"/>
    <x v="1"/>
    <x v="2"/>
    <x v="3"/>
  </r>
  <r>
    <s v="T1061"/>
    <d v="2026-03-10T04:24:08"/>
    <s v="C112"/>
    <s v="CH4"/>
    <n v="9306"/>
    <s v="DECLINED"/>
    <n v="1"/>
    <x v="3"/>
    <x v="1"/>
    <x v="3"/>
    <n v="10"/>
    <x v="1"/>
    <x v="2"/>
    <x v="3"/>
  </r>
  <r>
    <s v="T1062"/>
    <d v="2026-03-10T08:27:39"/>
    <s v="C114"/>
    <s v="CH4"/>
    <n v="1744"/>
    <s v="ACCEPTED"/>
    <n v="0"/>
    <x v="0"/>
    <x v="1"/>
    <x v="3"/>
    <n v="544"/>
    <x v="0"/>
    <x v="0"/>
    <x v="3"/>
  </r>
  <r>
    <s v="T1063"/>
    <d v="2026-03-10T18:22:22"/>
    <s v="C114"/>
    <s v="CH1"/>
    <n v="3118"/>
    <s v="ACCEPTED"/>
    <n v="0"/>
    <x v="0"/>
    <x v="1"/>
    <x v="2"/>
    <n v="544"/>
    <x v="0"/>
    <x v="0"/>
    <x v="3"/>
  </r>
  <r>
    <s v="T1064"/>
    <d v="2026-03-11T01:06:19"/>
    <s v="C120"/>
    <s v="CH4"/>
    <n v="2842"/>
    <s v="ACCEPTED"/>
    <n v="1"/>
    <x v="0"/>
    <x v="0"/>
    <x v="3"/>
    <n v="1671"/>
    <x v="0"/>
    <x v="0"/>
    <x v="3"/>
  </r>
  <r>
    <s v="T1065"/>
    <d v="2026-03-11T04:05:42"/>
    <s v="C117"/>
    <s v="CH1"/>
    <n v="13255"/>
    <s v="DECLINED"/>
    <n v="1"/>
    <x v="1"/>
    <x v="1"/>
    <x v="2"/>
    <n v="360"/>
    <x v="1"/>
    <x v="2"/>
    <x v="0"/>
  </r>
  <r>
    <s v="T1066"/>
    <d v="2026-03-11T04:18:44"/>
    <s v="C107"/>
    <s v="CH3"/>
    <n v="13179"/>
    <s v="DECLINED"/>
    <n v="1"/>
    <x v="1"/>
    <x v="1"/>
    <x v="1"/>
    <n v="8"/>
    <x v="1"/>
    <x v="2"/>
    <x v="2"/>
  </r>
  <r>
    <s v="T1067"/>
    <d v="2026-03-11T12:32:22"/>
    <s v="C101"/>
    <s v="CH4"/>
    <n v="2724"/>
    <s v="ACCEPTED"/>
    <n v="0"/>
    <x v="3"/>
    <x v="0"/>
    <x v="3"/>
    <n v="1200"/>
    <x v="0"/>
    <x v="0"/>
    <x v="0"/>
  </r>
  <r>
    <s v="T1068"/>
    <d v="2026-03-11T12:46:37"/>
    <s v="C107"/>
    <s v="CH1"/>
    <n v="66"/>
    <s v="ACCEPTED"/>
    <n v="0"/>
    <x v="3"/>
    <x v="1"/>
    <x v="2"/>
    <n v="8"/>
    <x v="0"/>
    <x v="0"/>
    <x v="2"/>
  </r>
  <r>
    <s v="T1069"/>
    <d v="2026-03-11T20:48:48"/>
    <s v="C117"/>
    <s v="CH2"/>
    <n v="526"/>
    <s v="ACCEPTED"/>
    <n v="0"/>
    <x v="0"/>
    <x v="1"/>
    <x v="4"/>
    <n v="360"/>
    <x v="0"/>
    <x v="0"/>
    <x v="0"/>
  </r>
  <r>
    <s v="T1070"/>
    <d v="2026-03-11T23:00:35"/>
    <s v="C104"/>
    <s v="CH4"/>
    <n v="17750"/>
    <s v="DECLINED"/>
    <n v="1"/>
    <x v="3"/>
    <x v="1"/>
    <x v="3"/>
    <n v="15"/>
    <x v="1"/>
    <x v="2"/>
    <x v="1"/>
  </r>
  <r>
    <s v="T1071"/>
    <d v="2026-03-11T23:07:55"/>
    <s v="C101"/>
    <s v="CH2"/>
    <n v="3849"/>
    <s v="ACCEPTED"/>
    <n v="1"/>
    <x v="3"/>
    <x v="0"/>
    <x v="4"/>
    <n v="1200"/>
    <x v="1"/>
    <x v="3"/>
    <x v="0"/>
  </r>
  <r>
    <s v="T1072"/>
    <d v="2026-03-12T01:01:44"/>
    <s v="C101"/>
    <s v="CH3"/>
    <n v="3667"/>
    <s v="ACCEPTED"/>
    <n v="1"/>
    <x v="3"/>
    <x v="0"/>
    <x v="1"/>
    <n v="1200"/>
    <x v="1"/>
    <x v="3"/>
    <x v="0"/>
  </r>
  <r>
    <s v="T1073"/>
    <d v="2026-03-12T01:31:36"/>
    <s v="C115"/>
    <s v="CH4"/>
    <n v="6351"/>
    <s v="DECLINED"/>
    <n v="1"/>
    <x v="1"/>
    <x v="0"/>
    <x v="3"/>
    <n v="1560"/>
    <x v="1"/>
    <x v="3"/>
    <x v="3"/>
  </r>
  <r>
    <s v="T1074"/>
    <d v="2026-03-12T10:52:08"/>
    <s v="C110"/>
    <s v="CH3"/>
    <n v="1282"/>
    <s v="ACCEPTED"/>
    <n v="0"/>
    <x v="0"/>
    <x v="0"/>
    <x v="1"/>
    <n v="950"/>
    <x v="0"/>
    <x v="0"/>
    <x v="0"/>
  </r>
  <r>
    <s v="T1075"/>
    <d v="2026-03-12T11:43:58"/>
    <s v="C109"/>
    <s v="CH1"/>
    <n v="1815"/>
    <s v="ACCEPTED"/>
    <n v="0"/>
    <x v="1"/>
    <x v="1"/>
    <x v="2"/>
    <n v="60"/>
    <x v="0"/>
    <x v="0"/>
    <x v="1"/>
  </r>
  <r>
    <s v="T1076"/>
    <d v="2026-03-12T14:23:07"/>
    <s v="C113"/>
    <s v="CH3"/>
    <n v="19604"/>
    <s v="ACCEPTED"/>
    <n v="0"/>
    <x v="1"/>
    <x v="2"/>
    <x v="1"/>
    <n v="762"/>
    <x v="0"/>
    <x v="0"/>
    <x v="3"/>
  </r>
  <r>
    <s v="T1077"/>
    <d v="2026-03-12T18:27:31"/>
    <s v="C104"/>
    <s v="CH2"/>
    <n v="13681"/>
    <s v="ACCEPTED"/>
    <n v="0"/>
    <x v="1"/>
    <x v="1"/>
    <x v="4"/>
    <n v="15"/>
    <x v="0"/>
    <x v="0"/>
    <x v="1"/>
  </r>
  <r>
    <s v="T1078"/>
    <d v="2026-03-12T18:50:19"/>
    <s v="C107"/>
    <s v="CH1"/>
    <n v="631"/>
    <s v="ACCEPTED"/>
    <n v="0"/>
    <x v="0"/>
    <x v="1"/>
    <x v="2"/>
    <n v="8"/>
    <x v="0"/>
    <x v="0"/>
    <x v="2"/>
  </r>
  <r>
    <s v="T1079"/>
    <d v="2026-03-12T22:38:23"/>
    <s v="C109"/>
    <s v="CH2"/>
    <n v="170"/>
    <s v="ACCEPTED"/>
    <n v="1"/>
    <x v="1"/>
    <x v="1"/>
    <x v="4"/>
    <n v="60"/>
    <x v="0"/>
    <x v="0"/>
    <x v="1"/>
  </r>
  <r>
    <s v="T1080"/>
    <d v="2026-03-13T01:34:20"/>
    <s v="C109"/>
    <s v="CH3"/>
    <n v="2843"/>
    <s v="DECLINED"/>
    <n v="1"/>
    <x v="4"/>
    <x v="1"/>
    <x v="1"/>
    <n v="60"/>
    <x v="1"/>
    <x v="2"/>
    <x v="1"/>
  </r>
  <r>
    <s v="T1081"/>
    <d v="2026-03-13T04:45:47"/>
    <s v="C118"/>
    <s v="CH1"/>
    <n v="7699"/>
    <s v="DECLINED"/>
    <n v="1"/>
    <x v="1"/>
    <x v="1"/>
    <x v="2"/>
    <n v="442"/>
    <x v="1"/>
    <x v="2"/>
    <x v="0"/>
  </r>
  <r>
    <s v="T1082"/>
    <d v="2026-03-13T04:55:52"/>
    <s v="C103"/>
    <s v="CH4"/>
    <n v="409"/>
    <s v="ACCEPTED"/>
    <n v="1"/>
    <x v="4"/>
    <x v="2"/>
    <x v="3"/>
    <n v="890"/>
    <x v="0"/>
    <x v="0"/>
    <x v="3"/>
  </r>
  <r>
    <s v="T1083"/>
    <d v="2026-03-13T13:31:18"/>
    <s v="C118"/>
    <s v="CH4"/>
    <n v="427"/>
    <s v="DECLINED"/>
    <n v="0"/>
    <x v="1"/>
    <x v="1"/>
    <x v="3"/>
    <n v="442"/>
    <x v="0"/>
    <x v="1"/>
    <x v="0"/>
  </r>
  <r>
    <s v="T1084"/>
    <d v="2026-03-13T14:29:31"/>
    <s v="C109"/>
    <s v="CH3"/>
    <n v="1420"/>
    <s v="ACCEPTED"/>
    <n v="0"/>
    <x v="2"/>
    <x v="1"/>
    <x v="1"/>
    <n v="60"/>
    <x v="0"/>
    <x v="0"/>
    <x v="1"/>
  </r>
  <r>
    <s v="T1085"/>
    <d v="2026-03-13T21:47:49"/>
    <s v="C116"/>
    <s v="CH1"/>
    <n v="154"/>
    <s v="ACCEPTED"/>
    <n v="0"/>
    <x v="3"/>
    <x v="0"/>
    <x v="2"/>
    <n v="845"/>
    <x v="0"/>
    <x v="0"/>
    <x v="3"/>
  </r>
  <r>
    <s v="T1086"/>
    <d v="2026-03-13T22:02:45"/>
    <s v="C120"/>
    <s v="CH3"/>
    <n v="14890"/>
    <s v="ACCEPTED"/>
    <n v="1"/>
    <x v="4"/>
    <x v="0"/>
    <x v="1"/>
    <n v="1671"/>
    <x v="1"/>
    <x v="3"/>
    <x v="3"/>
  </r>
  <r>
    <s v="T1087"/>
    <d v="2026-03-14T05:23:13"/>
    <s v="C115"/>
    <s v="CH3"/>
    <n v="2663"/>
    <s v="ACCEPTED"/>
    <n v="1"/>
    <x v="3"/>
    <x v="0"/>
    <x v="1"/>
    <n v="1560"/>
    <x v="0"/>
    <x v="0"/>
    <x v="3"/>
  </r>
  <r>
    <s v="T1088"/>
    <d v="2026-03-14T09:51:42"/>
    <s v="C108"/>
    <s v="CH2"/>
    <n v="316"/>
    <s v="ACCEPTED"/>
    <n v="0"/>
    <x v="4"/>
    <x v="2"/>
    <x v="4"/>
    <n v="1400"/>
    <x v="0"/>
    <x v="0"/>
    <x v="3"/>
  </r>
  <r>
    <s v="T1089"/>
    <d v="2026-03-14T09:57:27"/>
    <s v="C113"/>
    <s v="CH2"/>
    <n v="764"/>
    <s v="ACCEPTED"/>
    <n v="0"/>
    <x v="1"/>
    <x v="2"/>
    <x v="4"/>
    <n v="762"/>
    <x v="0"/>
    <x v="0"/>
    <x v="3"/>
  </r>
  <r>
    <s v="T1090"/>
    <d v="2026-03-14T13:21:14"/>
    <s v="C108"/>
    <s v="CH2"/>
    <n v="7286"/>
    <s v="ACCEPTED"/>
    <n v="0"/>
    <x v="0"/>
    <x v="2"/>
    <x v="4"/>
    <n v="1400"/>
    <x v="0"/>
    <x v="0"/>
    <x v="3"/>
  </r>
  <r>
    <s v="T1091"/>
    <d v="2026-03-14T15:02:28"/>
    <s v="C106"/>
    <s v="CH3"/>
    <n v="609"/>
    <s v="DECLINED"/>
    <n v="0"/>
    <x v="3"/>
    <x v="0"/>
    <x v="1"/>
    <n v="2100"/>
    <x v="0"/>
    <x v="1"/>
    <x v="0"/>
  </r>
  <r>
    <s v="T1092"/>
    <d v="2026-03-14T17:12:58"/>
    <s v="C120"/>
    <s v="CH2"/>
    <n v="3310"/>
    <s v="ACCEPTED"/>
    <n v="0"/>
    <x v="1"/>
    <x v="0"/>
    <x v="4"/>
    <n v="1671"/>
    <x v="0"/>
    <x v="0"/>
    <x v="3"/>
  </r>
  <r>
    <s v="T1093"/>
    <d v="2026-03-14T19:45:03"/>
    <s v="C115"/>
    <s v="CH2"/>
    <n v="3678"/>
    <s v="ACCEPTED"/>
    <n v="0"/>
    <x v="4"/>
    <x v="0"/>
    <x v="4"/>
    <n v="1560"/>
    <x v="0"/>
    <x v="0"/>
    <x v="3"/>
  </r>
  <r>
    <s v="T1094"/>
    <d v="2026-03-14T20:31:29"/>
    <s v="C105"/>
    <s v="CH3"/>
    <n v="15823"/>
    <s v="ACCEPTED"/>
    <n v="0"/>
    <x v="2"/>
    <x v="1"/>
    <x v="1"/>
    <n v="320"/>
    <x v="0"/>
    <x v="0"/>
    <x v="2"/>
  </r>
  <r>
    <s v="T1095"/>
    <d v="2026-03-15T03:06:33"/>
    <s v="C104"/>
    <s v="CH2"/>
    <n v="18824"/>
    <s v="DECLINED"/>
    <n v="1"/>
    <x v="4"/>
    <x v="1"/>
    <x v="4"/>
    <n v="15"/>
    <x v="1"/>
    <x v="2"/>
    <x v="1"/>
  </r>
  <r>
    <s v="T1096"/>
    <d v="2026-03-15T08:09:26"/>
    <s v="C108"/>
    <s v="CH3"/>
    <n v="3027"/>
    <s v="ACCEPTED"/>
    <n v="0"/>
    <x v="3"/>
    <x v="2"/>
    <x v="1"/>
    <n v="1400"/>
    <x v="0"/>
    <x v="0"/>
    <x v="3"/>
  </r>
  <r>
    <s v="T1097"/>
    <d v="2026-03-15T13:14:40"/>
    <s v="C102"/>
    <s v="CH4"/>
    <n v="321"/>
    <s v="ACCEPTED"/>
    <n v="0"/>
    <x v="3"/>
    <x v="1"/>
    <x v="3"/>
    <n v="450"/>
    <x v="0"/>
    <x v="0"/>
    <x v="3"/>
  </r>
  <r>
    <s v="T1098"/>
    <d v="2026-03-15T18:05:30"/>
    <s v="C106"/>
    <s v="CH2"/>
    <n v="15626"/>
    <s v="ACCEPTED"/>
    <n v="0"/>
    <x v="3"/>
    <x v="0"/>
    <x v="4"/>
    <n v="2100"/>
    <x v="0"/>
    <x v="0"/>
    <x v="0"/>
  </r>
  <r>
    <s v="T1099"/>
    <d v="2026-03-15T22:08:26"/>
    <s v="C114"/>
    <s v="CH4"/>
    <n v="7902"/>
    <s v="DECLINED"/>
    <n v="1"/>
    <x v="3"/>
    <x v="1"/>
    <x v="3"/>
    <n v="544"/>
    <x v="1"/>
    <x v="2"/>
    <x v="3"/>
  </r>
  <r>
    <s v="T1100"/>
    <d v="2026-03-16T01:31:29"/>
    <s v="C104"/>
    <s v="CH2"/>
    <n v="12201"/>
    <s v="ACCEPTED"/>
    <n v="1"/>
    <x v="2"/>
    <x v="1"/>
    <x v="4"/>
    <n v="15"/>
    <x v="1"/>
    <x v="2"/>
    <x v="1"/>
  </r>
  <r>
    <s v="T1101"/>
    <d v="2026-03-16T04:13:03"/>
    <s v="C117"/>
    <s v="CH3"/>
    <n v="1739"/>
    <s v="ACCEPTED"/>
    <n v="1"/>
    <x v="1"/>
    <x v="1"/>
    <x v="1"/>
    <n v="360"/>
    <x v="0"/>
    <x v="0"/>
    <x v="0"/>
  </r>
  <r>
    <s v="T1102"/>
    <d v="2026-03-16T06:45:48"/>
    <s v="C106"/>
    <s v="CH1"/>
    <n v="1255"/>
    <s v="ACCEPTED"/>
    <n v="0"/>
    <x v="3"/>
    <x v="0"/>
    <x v="2"/>
    <n v="2100"/>
    <x v="0"/>
    <x v="0"/>
    <x v="0"/>
  </r>
  <r>
    <s v="T1103"/>
    <d v="2026-03-16T08:31:31"/>
    <s v="C117"/>
    <s v="CH2"/>
    <n v="397"/>
    <s v="ACCEPTED"/>
    <n v="0"/>
    <x v="0"/>
    <x v="1"/>
    <x v="4"/>
    <n v="360"/>
    <x v="0"/>
    <x v="0"/>
    <x v="0"/>
  </r>
  <r>
    <s v="T1104"/>
    <d v="2026-03-16T09:14:26"/>
    <s v="C110"/>
    <s v="CH3"/>
    <n v="1533"/>
    <s v="ACCEPTED"/>
    <n v="0"/>
    <x v="4"/>
    <x v="0"/>
    <x v="1"/>
    <n v="950"/>
    <x v="0"/>
    <x v="0"/>
    <x v="0"/>
  </r>
  <r>
    <s v="T1105"/>
    <d v="2026-03-16T09:26:13"/>
    <s v="C110"/>
    <s v="CH3"/>
    <n v="1829"/>
    <s v="ACCEPTED"/>
    <n v="0"/>
    <x v="3"/>
    <x v="0"/>
    <x v="1"/>
    <n v="950"/>
    <x v="0"/>
    <x v="0"/>
    <x v="0"/>
  </r>
  <r>
    <s v="T1106"/>
    <d v="2026-03-16T11:07:06"/>
    <s v="C118"/>
    <s v="CH2"/>
    <n v="318"/>
    <s v="DECLINED"/>
    <n v="0"/>
    <x v="0"/>
    <x v="1"/>
    <x v="4"/>
    <n v="442"/>
    <x v="0"/>
    <x v="1"/>
    <x v="0"/>
  </r>
  <r>
    <s v="T1107"/>
    <d v="2026-03-16T14:28:40"/>
    <s v="C110"/>
    <s v="CH2"/>
    <n v="1699"/>
    <s v="ACCEPTED"/>
    <n v="0"/>
    <x v="1"/>
    <x v="0"/>
    <x v="4"/>
    <n v="950"/>
    <x v="0"/>
    <x v="0"/>
    <x v="0"/>
  </r>
  <r>
    <s v="T1108"/>
    <d v="2026-03-16T14:44:55"/>
    <s v="C108"/>
    <s v="CH2"/>
    <n v="880"/>
    <s v="ACCEPTED"/>
    <n v="0"/>
    <x v="2"/>
    <x v="2"/>
    <x v="4"/>
    <n v="1400"/>
    <x v="0"/>
    <x v="0"/>
    <x v="3"/>
  </r>
  <r>
    <s v="T1109"/>
    <d v="2026-03-16T17:03:30"/>
    <s v="C108"/>
    <s v="CH4"/>
    <n v="7693"/>
    <s v="DECLINED"/>
    <n v="0"/>
    <x v="2"/>
    <x v="2"/>
    <x v="3"/>
    <n v="1400"/>
    <x v="1"/>
    <x v="3"/>
    <x v="3"/>
  </r>
  <r>
    <s v="T1110"/>
    <d v="2026-03-16T18:34:59"/>
    <s v="C104"/>
    <s v="CH3"/>
    <n v="456"/>
    <s v="ACCEPTED"/>
    <n v="0"/>
    <x v="2"/>
    <x v="1"/>
    <x v="1"/>
    <n v="15"/>
    <x v="0"/>
    <x v="0"/>
    <x v="1"/>
  </r>
  <r>
    <s v="T1111"/>
    <d v="2026-03-16T20:35:17"/>
    <s v="C101"/>
    <s v="CH3"/>
    <n v="3361"/>
    <s v="ACCEPTED"/>
    <n v="0"/>
    <x v="2"/>
    <x v="0"/>
    <x v="1"/>
    <n v="1200"/>
    <x v="0"/>
    <x v="0"/>
    <x v="0"/>
  </r>
  <r>
    <s v="T1112"/>
    <d v="2026-03-17T06:49:11"/>
    <s v="C104"/>
    <s v="CH2"/>
    <n v="1617"/>
    <s v="ACCEPTED"/>
    <n v="0"/>
    <x v="3"/>
    <x v="1"/>
    <x v="4"/>
    <n v="15"/>
    <x v="0"/>
    <x v="0"/>
    <x v="1"/>
  </r>
  <r>
    <s v="T1113"/>
    <d v="2026-03-17T12:41:22"/>
    <s v="C120"/>
    <s v="CH3"/>
    <n v="248"/>
    <s v="ACCEPTED"/>
    <n v="0"/>
    <x v="4"/>
    <x v="0"/>
    <x v="1"/>
    <n v="1671"/>
    <x v="0"/>
    <x v="0"/>
    <x v="3"/>
  </r>
  <r>
    <s v="T1114"/>
    <d v="2026-03-17T14:09:13"/>
    <s v="C112"/>
    <s v="CH2"/>
    <n v="216"/>
    <s v="ACCEPTED"/>
    <n v="0"/>
    <x v="3"/>
    <x v="1"/>
    <x v="4"/>
    <n v="10"/>
    <x v="0"/>
    <x v="0"/>
    <x v="3"/>
  </r>
  <r>
    <s v="T1115"/>
    <d v="2026-03-17T20:53:09"/>
    <s v="C107"/>
    <s v="CH3"/>
    <n v="408"/>
    <s v="ACCEPTED"/>
    <n v="0"/>
    <x v="1"/>
    <x v="1"/>
    <x v="1"/>
    <n v="8"/>
    <x v="0"/>
    <x v="0"/>
    <x v="2"/>
  </r>
  <r>
    <s v="T1116"/>
    <d v="2026-03-17T23:53:36"/>
    <s v="C113"/>
    <s v="CH2"/>
    <n v="13013"/>
    <s v="DECLINED"/>
    <n v="1"/>
    <x v="0"/>
    <x v="2"/>
    <x v="4"/>
    <n v="762"/>
    <x v="1"/>
    <x v="3"/>
    <x v="3"/>
  </r>
  <r>
    <s v="T1117"/>
    <d v="2026-03-18T03:06:17"/>
    <s v="C106"/>
    <s v="CH3"/>
    <n v="1203"/>
    <s v="ACCEPTED"/>
    <n v="1"/>
    <x v="2"/>
    <x v="0"/>
    <x v="1"/>
    <n v="2100"/>
    <x v="0"/>
    <x v="0"/>
    <x v="0"/>
  </r>
  <r>
    <s v="T1118"/>
    <d v="2026-03-18T10:56:31"/>
    <s v="C107"/>
    <s v="CH4"/>
    <n v="1648"/>
    <s v="ACCEPTED"/>
    <n v="0"/>
    <x v="3"/>
    <x v="1"/>
    <x v="3"/>
    <n v="8"/>
    <x v="0"/>
    <x v="0"/>
    <x v="2"/>
  </r>
  <r>
    <s v="T1119"/>
    <d v="2026-03-18T14:31:53"/>
    <s v="C114"/>
    <s v="CH3"/>
    <n v="2865"/>
    <s v="ACCEPTED"/>
    <n v="0"/>
    <x v="2"/>
    <x v="1"/>
    <x v="1"/>
    <n v="544"/>
    <x v="0"/>
    <x v="0"/>
    <x v="3"/>
  </r>
  <r>
    <s v="T1120"/>
    <d v="2026-03-18T21:10:33"/>
    <s v="C114"/>
    <s v="CH4"/>
    <n v="2396"/>
    <s v="ACCEPTED"/>
    <n v="0"/>
    <x v="0"/>
    <x v="1"/>
    <x v="3"/>
    <n v="544"/>
    <x v="0"/>
    <x v="0"/>
    <x v="3"/>
  </r>
  <r>
    <s v="T1121"/>
    <d v="2026-03-18T22:08:44"/>
    <s v="C109"/>
    <s v="CH1"/>
    <n v="3398"/>
    <s v="ACCEPTED"/>
    <n v="1"/>
    <x v="1"/>
    <x v="1"/>
    <x v="2"/>
    <n v="60"/>
    <x v="1"/>
    <x v="2"/>
    <x v="1"/>
  </r>
  <r>
    <s v="T1122"/>
    <d v="2026-03-18T22:40:45"/>
    <s v="C101"/>
    <s v="CH4"/>
    <n v="10457"/>
    <s v="DECLINED"/>
    <n v="1"/>
    <x v="2"/>
    <x v="0"/>
    <x v="3"/>
    <n v="1200"/>
    <x v="1"/>
    <x v="3"/>
    <x v="0"/>
  </r>
  <r>
    <s v="T1123"/>
    <d v="2026-03-19T03:34:05"/>
    <s v="C115"/>
    <s v="CH4"/>
    <n v="10680"/>
    <s v="DECLINED"/>
    <n v="1"/>
    <x v="1"/>
    <x v="0"/>
    <x v="3"/>
    <n v="1560"/>
    <x v="1"/>
    <x v="3"/>
    <x v="3"/>
  </r>
  <r>
    <s v="T1124"/>
    <d v="2026-03-19T04:22:18"/>
    <s v="C101"/>
    <s v="CH1"/>
    <n v="1497"/>
    <s v="ACCEPTED"/>
    <n v="1"/>
    <x v="0"/>
    <x v="0"/>
    <x v="2"/>
    <n v="1200"/>
    <x v="0"/>
    <x v="0"/>
    <x v="0"/>
  </r>
  <r>
    <s v="T1125"/>
    <d v="2026-03-19T09:12:54"/>
    <s v="C120"/>
    <s v="CH4"/>
    <n v="1872"/>
    <s v="DECLINED"/>
    <n v="0"/>
    <x v="3"/>
    <x v="0"/>
    <x v="3"/>
    <n v="1671"/>
    <x v="0"/>
    <x v="1"/>
    <x v="3"/>
  </r>
  <r>
    <s v="T1126"/>
    <d v="2026-03-19T12:49:03"/>
    <s v="C101"/>
    <s v="CH4"/>
    <n v="7198"/>
    <s v="ACCEPTED"/>
    <n v="0"/>
    <x v="1"/>
    <x v="0"/>
    <x v="3"/>
    <n v="1200"/>
    <x v="0"/>
    <x v="0"/>
    <x v="0"/>
  </r>
  <r>
    <s v="T1127"/>
    <d v="2026-03-19T13:41:07"/>
    <s v="C105"/>
    <s v="CH4"/>
    <n v="3136"/>
    <s v="ACCEPTED"/>
    <n v="0"/>
    <x v="4"/>
    <x v="1"/>
    <x v="3"/>
    <n v="320"/>
    <x v="0"/>
    <x v="0"/>
    <x v="2"/>
  </r>
  <r>
    <s v="T1128"/>
    <d v="2026-03-19T16:57:42"/>
    <s v="C102"/>
    <s v="CH3"/>
    <n v="714"/>
    <s v="ACCEPTED"/>
    <n v="0"/>
    <x v="4"/>
    <x v="1"/>
    <x v="1"/>
    <n v="450"/>
    <x v="0"/>
    <x v="0"/>
    <x v="3"/>
  </r>
  <r>
    <s v="T1129"/>
    <d v="2026-03-20T01:51:11"/>
    <s v="C102"/>
    <s v="CH3"/>
    <n v="6359"/>
    <s v="DECLINED"/>
    <n v="1"/>
    <x v="1"/>
    <x v="1"/>
    <x v="1"/>
    <n v="450"/>
    <x v="1"/>
    <x v="2"/>
    <x v="3"/>
  </r>
  <r>
    <s v="T1130"/>
    <d v="2026-03-20T03:01:06"/>
    <s v="C105"/>
    <s v="CH2"/>
    <n v="3734"/>
    <s v="ACCEPTED"/>
    <n v="1"/>
    <x v="3"/>
    <x v="1"/>
    <x v="4"/>
    <n v="320"/>
    <x v="1"/>
    <x v="2"/>
    <x v="2"/>
  </r>
  <r>
    <s v="T1131"/>
    <d v="2026-03-20T11:30:54"/>
    <s v="C114"/>
    <s v="CH4"/>
    <n v="1390"/>
    <s v="DECLINED"/>
    <n v="0"/>
    <x v="1"/>
    <x v="1"/>
    <x v="3"/>
    <n v="544"/>
    <x v="0"/>
    <x v="1"/>
    <x v="3"/>
  </r>
  <r>
    <s v="T1132"/>
    <d v="2026-03-20T17:02:05"/>
    <s v="C109"/>
    <s v="CH1"/>
    <n v="3737"/>
    <s v="ACCEPTED"/>
    <n v="0"/>
    <x v="2"/>
    <x v="1"/>
    <x v="2"/>
    <n v="60"/>
    <x v="0"/>
    <x v="0"/>
    <x v="1"/>
  </r>
  <r>
    <s v="T1133"/>
    <d v="2026-03-20T21:59:06"/>
    <s v="C104"/>
    <s v="CH4"/>
    <n v="831"/>
    <s v="ACCEPTED"/>
    <n v="0"/>
    <x v="4"/>
    <x v="1"/>
    <x v="3"/>
    <n v="15"/>
    <x v="0"/>
    <x v="0"/>
    <x v="1"/>
  </r>
  <r>
    <s v="T1134"/>
    <d v="2026-03-20T22:10:32"/>
    <s v="C105"/>
    <s v="CH3"/>
    <n v="3255"/>
    <s v="ACCEPTED"/>
    <n v="1"/>
    <x v="4"/>
    <x v="1"/>
    <x v="1"/>
    <n v="320"/>
    <x v="1"/>
    <x v="2"/>
    <x v="2"/>
  </r>
  <r>
    <s v="T1135"/>
    <d v="2026-03-21T06:00:46"/>
    <s v="C115"/>
    <s v="CH3"/>
    <n v="583"/>
    <s v="ACCEPTED"/>
    <n v="0"/>
    <x v="3"/>
    <x v="0"/>
    <x v="1"/>
    <n v="1560"/>
    <x v="0"/>
    <x v="0"/>
    <x v="3"/>
  </r>
  <r>
    <s v="T1136"/>
    <d v="2026-03-21T13:29:34"/>
    <s v="C109"/>
    <s v="CH3"/>
    <n v="3826"/>
    <s v="ACCEPTED"/>
    <n v="0"/>
    <x v="4"/>
    <x v="1"/>
    <x v="1"/>
    <n v="60"/>
    <x v="0"/>
    <x v="0"/>
    <x v="1"/>
  </r>
  <r>
    <s v="T1137"/>
    <d v="2026-03-21T21:08:14"/>
    <s v="C116"/>
    <s v="CH3"/>
    <n v="1796"/>
    <s v="ACCEPTED"/>
    <n v="0"/>
    <x v="3"/>
    <x v="0"/>
    <x v="1"/>
    <n v="845"/>
    <x v="0"/>
    <x v="0"/>
    <x v="3"/>
  </r>
  <r>
    <s v="T1138"/>
    <d v="2026-03-22T01:04:16"/>
    <s v="C104"/>
    <s v="CH3"/>
    <n v="3532"/>
    <s v="ACCEPTED"/>
    <n v="1"/>
    <x v="2"/>
    <x v="1"/>
    <x v="1"/>
    <n v="15"/>
    <x v="1"/>
    <x v="2"/>
    <x v="1"/>
  </r>
  <r>
    <s v="T1139"/>
    <d v="2026-03-22T08:30:34"/>
    <s v="C113"/>
    <s v="CH1"/>
    <n v="6120"/>
    <s v="ACCEPTED"/>
    <n v="0"/>
    <x v="1"/>
    <x v="2"/>
    <x v="2"/>
    <n v="762"/>
    <x v="0"/>
    <x v="0"/>
    <x v="3"/>
  </r>
  <r>
    <s v="T1140"/>
    <d v="2026-03-22T10:42:40"/>
    <s v="C118"/>
    <s v="CH3"/>
    <n v="15638"/>
    <s v="ACCEPTED"/>
    <n v="0"/>
    <x v="3"/>
    <x v="1"/>
    <x v="1"/>
    <n v="442"/>
    <x v="0"/>
    <x v="0"/>
    <x v="0"/>
  </r>
  <r>
    <s v="T1141"/>
    <d v="2026-03-22T15:29:04"/>
    <s v="C112"/>
    <s v="CH4"/>
    <n v="2745"/>
    <s v="ACCEPTED"/>
    <n v="0"/>
    <x v="1"/>
    <x v="1"/>
    <x v="3"/>
    <n v="10"/>
    <x v="0"/>
    <x v="0"/>
    <x v="3"/>
  </r>
  <r>
    <s v="T1142"/>
    <d v="2026-03-22T17:35:23"/>
    <s v="C109"/>
    <s v="CH3"/>
    <n v="15463"/>
    <s v="ACCEPTED"/>
    <n v="0"/>
    <x v="1"/>
    <x v="1"/>
    <x v="1"/>
    <n v="60"/>
    <x v="0"/>
    <x v="0"/>
    <x v="1"/>
  </r>
  <r>
    <s v="T1143"/>
    <d v="2026-03-22T19:06:17"/>
    <s v="C110"/>
    <s v="CH4"/>
    <n v="673"/>
    <s v="DECLINED"/>
    <n v="0"/>
    <x v="4"/>
    <x v="0"/>
    <x v="3"/>
    <n v="950"/>
    <x v="1"/>
    <x v="3"/>
    <x v="0"/>
  </r>
  <r>
    <s v="T1144"/>
    <d v="2026-03-22T19:11:29"/>
    <s v="C104"/>
    <s v="CH4"/>
    <n v="1026"/>
    <s v="ACCEPTED"/>
    <n v="0"/>
    <x v="1"/>
    <x v="1"/>
    <x v="3"/>
    <n v="15"/>
    <x v="0"/>
    <x v="0"/>
    <x v="1"/>
  </r>
  <r>
    <s v="T1145"/>
    <d v="2026-03-23T07:35:01"/>
    <s v="C110"/>
    <s v="CH4"/>
    <n v="3529"/>
    <s v="ACCEPTED"/>
    <n v="0"/>
    <x v="1"/>
    <x v="0"/>
    <x v="3"/>
    <n v="950"/>
    <x v="0"/>
    <x v="0"/>
    <x v="0"/>
  </r>
  <r>
    <s v="T1146"/>
    <d v="2026-03-23T09:47:27"/>
    <s v="C110"/>
    <s v="CH1"/>
    <n v="18712"/>
    <s v="DECLINED"/>
    <n v="0"/>
    <x v="4"/>
    <x v="0"/>
    <x v="2"/>
    <n v="950"/>
    <x v="1"/>
    <x v="3"/>
    <x v="0"/>
  </r>
  <r>
    <s v="T1147"/>
    <d v="2026-03-23T10:42:06"/>
    <s v="C111"/>
    <s v="CH2"/>
    <n v="147"/>
    <s v="ACCEPTED"/>
    <n v="0"/>
    <x v="4"/>
    <x v="1"/>
    <x v="4"/>
    <n v="66"/>
    <x v="0"/>
    <x v="0"/>
    <x v="2"/>
  </r>
  <r>
    <s v="T1148"/>
    <d v="2026-03-23T13:39:26"/>
    <s v="C114"/>
    <s v="CH4"/>
    <n v="3648"/>
    <s v="ACCEPTED"/>
    <n v="0"/>
    <x v="2"/>
    <x v="1"/>
    <x v="3"/>
    <n v="544"/>
    <x v="0"/>
    <x v="0"/>
    <x v="3"/>
  </r>
  <r>
    <s v="T1149"/>
    <d v="2026-03-23T13:55:01"/>
    <s v="C114"/>
    <s v="CH4"/>
    <n v="12926"/>
    <s v="ACCEPTED"/>
    <n v="0"/>
    <x v="1"/>
    <x v="1"/>
    <x v="3"/>
    <n v="544"/>
    <x v="0"/>
    <x v="0"/>
    <x v="3"/>
  </r>
  <r>
    <s v="T1150"/>
    <d v="2026-03-23T20:52:17"/>
    <s v="C101"/>
    <s v="CH3"/>
    <n v="2925"/>
    <s v="ACCEPTED"/>
    <n v="0"/>
    <x v="4"/>
    <x v="0"/>
    <x v="1"/>
    <n v="1200"/>
    <x v="0"/>
    <x v="0"/>
    <x v="0"/>
  </r>
  <r>
    <s v="T1151"/>
    <d v="2026-03-23T22:39:20"/>
    <s v="C116"/>
    <s v="CH3"/>
    <n v="80"/>
    <s v="ACCEPTED"/>
    <n v="1"/>
    <x v="3"/>
    <x v="0"/>
    <x v="1"/>
    <n v="845"/>
    <x v="0"/>
    <x v="0"/>
    <x v="3"/>
  </r>
  <r>
    <s v="T1152"/>
    <d v="2026-03-24T05:00:56"/>
    <s v="C106"/>
    <s v="CH3"/>
    <n v="10417"/>
    <s v="DECLINED"/>
    <n v="1"/>
    <x v="2"/>
    <x v="0"/>
    <x v="1"/>
    <n v="2100"/>
    <x v="1"/>
    <x v="3"/>
    <x v="0"/>
  </r>
  <r>
    <s v="T1153"/>
    <d v="2026-03-24T07:03:01"/>
    <s v="C106"/>
    <s v="CH2"/>
    <n v="13231"/>
    <s v="DECLINED"/>
    <n v="0"/>
    <x v="1"/>
    <x v="0"/>
    <x v="4"/>
    <n v="2100"/>
    <x v="0"/>
    <x v="1"/>
    <x v="0"/>
  </r>
  <r>
    <s v="T1154"/>
    <d v="2026-03-24T08:34:44"/>
    <s v="C106"/>
    <s v="CH2"/>
    <n v="2095"/>
    <s v="ACCEPTED"/>
    <n v="0"/>
    <x v="1"/>
    <x v="0"/>
    <x v="4"/>
    <n v="2100"/>
    <x v="0"/>
    <x v="0"/>
    <x v="0"/>
  </r>
  <r>
    <s v="T1155"/>
    <d v="2026-03-24T09:37:26"/>
    <s v="C115"/>
    <s v="CH1"/>
    <n v="632"/>
    <s v="ACCEPTED"/>
    <n v="0"/>
    <x v="2"/>
    <x v="0"/>
    <x v="2"/>
    <n v="1560"/>
    <x v="0"/>
    <x v="0"/>
    <x v="3"/>
  </r>
  <r>
    <s v="T1156"/>
    <d v="2026-03-24T10:50:54"/>
    <s v="C117"/>
    <s v="CH3"/>
    <n v="2705"/>
    <s v="DECLINED"/>
    <n v="0"/>
    <x v="1"/>
    <x v="1"/>
    <x v="1"/>
    <n v="360"/>
    <x v="0"/>
    <x v="1"/>
    <x v="0"/>
  </r>
  <r>
    <s v="T1157"/>
    <d v="2026-03-24T15:40:14"/>
    <s v="C119"/>
    <s v="CH1"/>
    <n v="16372"/>
    <s v="ACCEPTED"/>
    <n v="0"/>
    <x v="1"/>
    <x v="2"/>
    <x v="2"/>
    <n v="1490"/>
    <x v="0"/>
    <x v="0"/>
    <x v="3"/>
  </r>
  <r>
    <s v="T1158"/>
    <d v="2026-03-24T20:04:55"/>
    <s v="C101"/>
    <s v="CH1"/>
    <n v="1502"/>
    <s v="ACCEPTED"/>
    <n v="0"/>
    <x v="0"/>
    <x v="0"/>
    <x v="2"/>
    <n v="1200"/>
    <x v="0"/>
    <x v="0"/>
    <x v="0"/>
  </r>
  <r>
    <s v="T1159"/>
    <d v="2026-03-24T23:56:55"/>
    <s v="C111"/>
    <s v="CH1"/>
    <n v="3148"/>
    <s v="ACCEPTED"/>
    <n v="1"/>
    <x v="4"/>
    <x v="1"/>
    <x v="2"/>
    <n v="66"/>
    <x v="1"/>
    <x v="2"/>
    <x v="2"/>
  </r>
  <r>
    <s v="T1160"/>
    <d v="2026-03-25T14:21:05"/>
    <s v="C110"/>
    <s v="CH1"/>
    <n v="516"/>
    <s v="ACCEPTED"/>
    <n v="0"/>
    <x v="1"/>
    <x v="0"/>
    <x v="2"/>
    <n v="950"/>
    <x v="0"/>
    <x v="0"/>
    <x v="0"/>
  </r>
  <r>
    <s v="T1161"/>
    <d v="2026-03-25T16:53:57"/>
    <s v="C120"/>
    <s v="CH2"/>
    <n v="1289"/>
    <s v="ACCEPTED"/>
    <n v="0"/>
    <x v="3"/>
    <x v="0"/>
    <x v="4"/>
    <n v="1671"/>
    <x v="0"/>
    <x v="0"/>
    <x v="3"/>
  </r>
  <r>
    <s v="T1162"/>
    <d v="2026-03-25T19:46:36"/>
    <s v="C104"/>
    <s v="CH4"/>
    <n v="774"/>
    <s v="ACCEPTED"/>
    <n v="0"/>
    <x v="4"/>
    <x v="1"/>
    <x v="3"/>
    <n v="15"/>
    <x v="0"/>
    <x v="0"/>
    <x v="1"/>
  </r>
  <r>
    <s v="T1163"/>
    <d v="2026-03-26T06:28:32"/>
    <s v="C109"/>
    <s v="CH4"/>
    <n v="3519"/>
    <s v="ACCEPTED"/>
    <n v="0"/>
    <x v="4"/>
    <x v="1"/>
    <x v="3"/>
    <n v="60"/>
    <x v="0"/>
    <x v="0"/>
    <x v="1"/>
  </r>
  <r>
    <s v="T1164"/>
    <d v="2026-03-26T10:09:03"/>
    <s v="C106"/>
    <s v="CH4"/>
    <n v="228"/>
    <s v="ACCEPTED"/>
    <n v="0"/>
    <x v="4"/>
    <x v="0"/>
    <x v="3"/>
    <n v="2100"/>
    <x v="0"/>
    <x v="0"/>
    <x v="0"/>
  </r>
  <r>
    <s v="T1165"/>
    <d v="2026-03-26T10:10:25"/>
    <s v="C119"/>
    <s v="CH2"/>
    <n v="522"/>
    <s v="ACCEPTED"/>
    <n v="0"/>
    <x v="4"/>
    <x v="2"/>
    <x v="4"/>
    <n v="1490"/>
    <x v="0"/>
    <x v="0"/>
    <x v="3"/>
  </r>
  <r>
    <s v="T1166"/>
    <d v="2026-03-26T11:00:48"/>
    <s v="C118"/>
    <s v="CH2"/>
    <n v="1329"/>
    <s v="ACCEPTED"/>
    <n v="0"/>
    <x v="3"/>
    <x v="1"/>
    <x v="4"/>
    <n v="442"/>
    <x v="0"/>
    <x v="0"/>
    <x v="0"/>
  </r>
  <r>
    <s v="T1167"/>
    <d v="2026-03-26T13:28:28"/>
    <s v="C116"/>
    <s v="CH4"/>
    <n v="3994"/>
    <s v="ACCEPTED"/>
    <n v="0"/>
    <x v="1"/>
    <x v="0"/>
    <x v="3"/>
    <n v="845"/>
    <x v="0"/>
    <x v="0"/>
    <x v="3"/>
  </r>
  <r>
    <s v="T1168"/>
    <d v="2026-03-26T16:50:44"/>
    <s v="C101"/>
    <s v="CH1"/>
    <n v="1310"/>
    <s v="ACCEPTED"/>
    <n v="0"/>
    <x v="1"/>
    <x v="0"/>
    <x v="2"/>
    <n v="1200"/>
    <x v="0"/>
    <x v="0"/>
    <x v="0"/>
  </r>
  <r>
    <s v="T1169"/>
    <d v="2026-03-26T19:14:00"/>
    <s v="C110"/>
    <s v="CH2"/>
    <n v="2538"/>
    <s v="DECLINED"/>
    <n v="0"/>
    <x v="4"/>
    <x v="0"/>
    <x v="4"/>
    <n v="950"/>
    <x v="1"/>
    <x v="3"/>
    <x v="0"/>
  </r>
  <r>
    <s v="T1170"/>
    <d v="2026-03-27T00:58:56"/>
    <s v="C113"/>
    <s v="CH3"/>
    <n v="5849"/>
    <s v="DECLINED"/>
    <n v="1"/>
    <x v="4"/>
    <x v="2"/>
    <x v="1"/>
    <n v="762"/>
    <x v="1"/>
    <x v="3"/>
    <x v="3"/>
  </r>
  <r>
    <s v="T1171"/>
    <d v="2026-03-27T01:07:40"/>
    <s v="C116"/>
    <s v="CH3"/>
    <n v="4651"/>
    <s v="ACCEPTED"/>
    <n v="1"/>
    <x v="1"/>
    <x v="0"/>
    <x v="1"/>
    <n v="845"/>
    <x v="1"/>
    <x v="3"/>
    <x v="3"/>
  </r>
  <r>
    <s v="T1172"/>
    <d v="2026-03-27T03:38:35"/>
    <s v="C109"/>
    <s v="CH1"/>
    <n v="4875"/>
    <s v="DECLINED"/>
    <n v="1"/>
    <x v="3"/>
    <x v="1"/>
    <x v="2"/>
    <n v="60"/>
    <x v="1"/>
    <x v="2"/>
    <x v="1"/>
  </r>
  <r>
    <s v="T1173"/>
    <d v="2026-03-27T05:25:08"/>
    <s v="C115"/>
    <s v="CH1"/>
    <n v="1177"/>
    <s v="ACCEPTED"/>
    <n v="1"/>
    <x v="3"/>
    <x v="0"/>
    <x v="2"/>
    <n v="1560"/>
    <x v="0"/>
    <x v="0"/>
    <x v="3"/>
  </r>
  <r>
    <s v="T1174"/>
    <d v="2026-03-27T09:58:12"/>
    <s v="C104"/>
    <s v="CH2"/>
    <n v="2164"/>
    <s v="ACCEPTED"/>
    <n v="0"/>
    <x v="2"/>
    <x v="1"/>
    <x v="4"/>
    <n v="15"/>
    <x v="0"/>
    <x v="0"/>
    <x v="1"/>
  </r>
  <r>
    <s v="T1175"/>
    <d v="2026-03-27T13:23:52"/>
    <s v="C116"/>
    <s v="CH1"/>
    <n v="3716"/>
    <s v="ACCEPTED"/>
    <n v="0"/>
    <x v="1"/>
    <x v="0"/>
    <x v="2"/>
    <n v="845"/>
    <x v="0"/>
    <x v="0"/>
    <x v="3"/>
  </r>
  <r>
    <s v="T1176"/>
    <d v="2026-03-27T13:27:53"/>
    <s v="C103"/>
    <s v="CH1"/>
    <n v="1403"/>
    <s v="ACCEPTED"/>
    <n v="0"/>
    <x v="1"/>
    <x v="2"/>
    <x v="2"/>
    <n v="890"/>
    <x v="0"/>
    <x v="0"/>
    <x v="3"/>
  </r>
  <r>
    <s v="T1177"/>
    <d v="2026-03-27T16:49:30"/>
    <s v="C105"/>
    <s v="CH1"/>
    <n v="2270"/>
    <s v="DECLINED"/>
    <n v="0"/>
    <x v="4"/>
    <x v="1"/>
    <x v="2"/>
    <n v="320"/>
    <x v="1"/>
    <x v="2"/>
    <x v="2"/>
  </r>
  <r>
    <s v="T1178"/>
    <d v="2026-03-27T16:51:00"/>
    <s v="C110"/>
    <s v="CH4"/>
    <n v="220"/>
    <s v="ACCEPTED"/>
    <n v="0"/>
    <x v="0"/>
    <x v="0"/>
    <x v="3"/>
    <n v="950"/>
    <x v="0"/>
    <x v="0"/>
    <x v="0"/>
  </r>
  <r>
    <s v="T1179"/>
    <d v="2026-03-27T17:34:54"/>
    <s v="C110"/>
    <s v="CH1"/>
    <n v="3684"/>
    <s v="ACCEPTED"/>
    <n v="0"/>
    <x v="0"/>
    <x v="0"/>
    <x v="2"/>
    <n v="950"/>
    <x v="0"/>
    <x v="0"/>
    <x v="0"/>
  </r>
  <r>
    <s v="T1180"/>
    <d v="2026-03-27T18:14:48"/>
    <s v="C115"/>
    <s v="CH2"/>
    <n v="500"/>
    <s v="ACCEPTED"/>
    <n v="0"/>
    <x v="3"/>
    <x v="0"/>
    <x v="4"/>
    <n v="1560"/>
    <x v="0"/>
    <x v="0"/>
    <x v="3"/>
  </r>
  <r>
    <s v="T1181"/>
    <d v="2026-03-27T18:28:02"/>
    <s v="C101"/>
    <s v="CH2"/>
    <n v="1902"/>
    <s v="ACCEPTED"/>
    <n v="0"/>
    <x v="3"/>
    <x v="0"/>
    <x v="4"/>
    <n v="1200"/>
    <x v="0"/>
    <x v="0"/>
    <x v="0"/>
  </r>
  <r>
    <s v="T1182"/>
    <d v="2026-03-27T22:44:15"/>
    <s v="C111"/>
    <s v="CH3"/>
    <n v="10177"/>
    <s v="DECLINED"/>
    <n v="1"/>
    <x v="3"/>
    <x v="1"/>
    <x v="1"/>
    <n v="66"/>
    <x v="1"/>
    <x v="2"/>
    <x v="2"/>
  </r>
  <r>
    <s v="T1183"/>
    <d v="2026-03-27T23:42:56"/>
    <s v="C109"/>
    <s v="CH2"/>
    <n v="17388"/>
    <s v="DECLINED"/>
    <n v="1"/>
    <x v="1"/>
    <x v="1"/>
    <x v="4"/>
    <n v="60"/>
    <x v="1"/>
    <x v="2"/>
    <x v="1"/>
  </r>
  <r>
    <s v="T1184"/>
    <d v="2026-03-28T00:16:48"/>
    <s v="C106"/>
    <s v="CH4"/>
    <n v="3231"/>
    <s v="DECLINED"/>
    <n v="1"/>
    <x v="3"/>
    <x v="0"/>
    <x v="3"/>
    <n v="2100"/>
    <x v="1"/>
    <x v="3"/>
    <x v="0"/>
  </r>
  <r>
    <s v="T1185"/>
    <d v="2026-03-28T06:15:16"/>
    <s v="C104"/>
    <s v="CH2"/>
    <n v="72"/>
    <s v="ACCEPTED"/>
    <n v="0"/>
    <x v="2"/>
    <x v="1"/>
    <x v="4"/>
    <n v="15"/>
    <x v="0"/>
    <x v="0"/>
    <x v="1"/>
  </r>
  <r>
    <s v="T1186"/>
    <d v="2026-03-28T08:21:46"/>
    <s v="C107"/>
    <s v="CH4"/>
    <n v="245"/>
    <s v="ACCEPTED"/>
    <n v="0"/>
    <x v="3"/>
    <x v="1"/>
    <x v="3"/>
    <n v="8"/>
    <x v="0"/>
    <x v="0"/>
    <x v="2"/>
  </r>
  <r>
    <s v="T1187"/>
    <d v="2026-03-28T19:28:02"/>
    <s v="C113"/>
    <s v="CH3"/>
    <n v="2519"/>
    <s v="ACCEPTED"/>
    <n v="0"/>
    <x v="2"/>
    <x v="2"/>
    <x v="1"/>
    <n v="762"/>
    <x v="0"/>
    <x v="0"/>
    <x v="3"/>
  </r>
  <r>
    <s v="T1188"/>
    <d v="2026-03-28T21:43:34"/>
    <s v="C103"/>
    <s v="CH3"/>
    <n v="312"/>
    <s v="ACCEPTED"/>
    <n v="0"/>
    <x v="0"/>
    <x v="2"/>
    <x v="1"/>
    <n v="890"/>
    <x v="0"/>
    <x v="0"/>
    <x v="3"/>
  </r>
  <r>
    <s v="T1189"/>
    <d v="2026-03-29T03:02:47"/>
    <s v="C105"/>
    <s v="CH3"/>
    <n v="8277"/>
    <s v="DECLINED"/>
    <n v="1"/>
    <x v="2"/>
    <x v="1"/>
    <x v="1"/>
    <n v="320"/>
    <x v="1"/>
    <x v="2"/>
    <x v="2"/>
  </r>
  <r>
    <s v="T1190"/>
    <d v="2026-03-29T08:49:30"/>
    <s v="C109"/>
    <s v="CH4"/>
    <n v="2677"/>
    <s v="ACCEPTED"/>
    <n v="0"/>
    <x v="0"/>
    <x v="1"/>
    <x v="3"/>
    <n v="60"/>
    <x v="0"/>
    <x v="0"/>
    <x v="1"/>
  </r>
  <r>
    <s v="T1191"/>
    <d v="2026-03-29T10:57:02"/>
    <s v="C115"/>
    <s v="CH1"/>
    <n v="583"/>
    <s v="ACCEPTED"/>
    <n v="0"/>
    <x v="3"/>
    <x v="0"/>
    <x v="2"/>
    <n v="1560"/>
    <x v="0"/>
    <x v="0"/>
    <x v="3"/>
  </r>
  <r>
    <s v="T1192"/>
    <d v="2026-03-29T23:38:03"/>
    <s v="C109"/>
    <s v="CH2"/>
    <n v="3454"/>
    <s v="ACCEPTED"/>
    <n v="1"/>
    <x v="3"/>
    <x v="1"/>
    <x v="4"/>
    <n v="60"/>
    <x v="1"/>
    <x v="2"/>
    <x v="1"/>
  </r>
  <r>
    <s v="T1193"/>
    <d v="2026-03-30T06:23:34"/>
    <s v="C110"/>
    <s v="CH2"/>
    <n v="5215"/>
    <s v="ACCEPTED"/>
    <n v="0"/>
    <x v="0"/>
    <x v="0"/>
    <x v="4"/>
    <n v="950"/>
    <x v="0"/>
    <x v="0"/>
    <x v="0"/>
  </r>
  <r>
    <s v="T1194"/>
    <d v="2026-03-30T20:43:09"/>
    <s v="C118"/>
    <s v="CH1"/>
    <n v="2431"/>
    <s v="ACCEPTED"/>
    <n v="0"/>
    <x v="4"/>
    <x v="1"/>
    <x v="2"/>
    <n v="442"/>
    <x v="0"/>
    <x v="0"/>
    <x v="0"/>
  </r>
  <r>
    <s v="T1195"/>
    <d v="2026-03-30T20:51:33"/>
    <s v="C114"/>
    <s v="CH1"/>
    <n v="1115"/>
    <s v="ACCEPTED"/>
    <n v="0"/>
    <x v="0"/>
    <x v="1"/>
    <x v="2"/>
    <n v="544"/>
    <x v="0"/>
    <x v="0"/>
    <x v="3"/>
  </r>
  <r>
    <s v="T1196"/>
    <d v="2026-03-31T00:42:18"/>
    <s v="C104"/>
    <s v="CH1"/>
    <n v="2551"/>
    <s v="ACCEPTED"/>
    <n v="1"/>
    <x v="1"/>
    <x v="1"/>
    <x v="2"/>
    <n v="15"/>
    <x v="0"/>
    <x v="0"/>
    <x v="1"/>
  </r>
  <r>
    <s v="T1197"/>
    <d v="2026-03-31T02:51:03"/>
    <s v="C116"/>
    <s v="CH2"/>
    <n v="976"/>
    <s v="ACCEPTED"/>
    <n v="1"/>
    <x v="0"/>
    <x v="0"/>
    <x v="4"/>
    <n v="845"/>
    <x v="0"/>
    <x v="0"/>
    <x v="3"/>
  </r>
  <r>
    <s v="T1198"/>
    <d v="2026-03-31T02:55:26"/>
    <s v="C106"/>
    <s v="CH3"/>
    <n v="16803"/>
    <s v="DECLINED"/>
    <n v="1"/>
    <x v="3"/>
    <x v="0"/>
    <x v="1"/>
    <n v="2100"/>
    <x v="1"/>
    <x v="3"/>
    <x v="0"/>
  </r>
  <r>
    <s v="T1199"/>
    <d v="2026-03-31T04:42:40"/>
    <s v="C112"/>
    <s v="CH1"/>
    <n v="11216"/>
    <s v="DECLINED"/>
    <n v="1"/>
    <x v="3"/>
    <x v="1"/>
    <x v="2"/>
    <n v="10"/>
    <x v="1"/>
    <x v="2"/>
    <x v="3"/>
  </r>
  <r>
    <s v="T1200"/>
    <d v="2026-03-31T21:16:45"/>
    <s v="C108"/>
    <s v="CH2"/>
    <n v="3707"/>
    <s v="ACCEPTED"/>
    <n v="0"/>
    <x v="2"/>
    <x v="2"/>
    <x v="4"/>
    <n v="1400"/>
    <x v="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1003"/>
    <x v="0"/>
    <s v="high amount+night+crypto+declined"/>
    <x v="0"/>
    <x v="0"/>
  </r>
  <r>
    <s v="T1017"/>
    <x v="1"/>
    <s v="only crypto+declined"/>
    <x v="0"/>
    <x v="1"/>
  </r>
  <r>
    <s v="T1029"/>
    <x v="0"/>
    <s v="high amount+gambling+declined"/>
    <x v="1"/>
    <x v="2"/>
  </r>
  <r>
    <s v="T1039"/>
    <x v="1"/>
    <s v="high amount+night"/>
    <x v="1"/>
    <x v="2"/>
  </r>
  <r>
    <s v="T1051"/>
    <x v="0"/>
    <s v="high amount+nigh+declined"/>
    <x v="0"/>
    <x v="0"/>
  </r>
  <r>
    <s v="T1060"/>
    <x v="0"/>
    <s v="high amount+night"/>
    <x v="0"/>
    <x v="2"/>
  </r>
  <r>
    <s v="T1070"/>
    <x v="0"/>
    <s v="high amount+night+declined"/>
    <x v="0"/>
    <x v="1"/>
  </r>
  <r>
    <s v="T1072"/>
    <x v="0"/>
    <s v="high amount+night"/>
    <x v="1"/>
    <x v="3"/>
  </r>
  <r>
    <s v="T1073"/>
    <x v="0"/>
    <s v="high amount+nigh+declined"/>
    <x v="1"/>
    <x v="2"/>
  </r>
  <r>
    <s v="T1086"/>
    <x v="0"/>
    <s v="high amount+gambling+night"/>
    <x v="1"/>
    <x v="2"/>
  </r>
  <r>
    <s v="T1100"/>
    <x v="0"/>
    <s v="high amount+crypto+night"/>
    <x v="0"/>
    <x v="1"/>
  </r>
  <r>
    <s v="T1116"/>
    <x v="0"/>
    <s v="high amount+nigh+declined"/>
    <x v="1"/>
    <x v="2"/>
  </r>
  <r>
    <s v="T1121"/>
    <x v="1"/>
    <s v="amount=3300+night"/>
    <x v="0"/>
    <x v="1"/>
  </r>
  <r>
    <s v="T1134"/>
    <x v="0"/>
    <s v="high amount+gambling+night"/>
    <x v="0"/>
    <x v="0"/>
  </r>
  <r>
    <s v="T1138"/>
    <x v="0"/>
    <s v="high amount+crypto+night"/>
    <x v="0"/>
    <x v="1"/>
  </r>
  <r>
    <s v="T1146"/>
    <x v="0"/>
    <s v="very high amount+gambling+declined"/>
    <x v="1"/>
    <x v="3"/>
  </r>
  <r>
    <s v="T1169"/>
    <x v="1"/>
    <s v="only declined gambling"/>
    <x v="1"/>
    <x v="3"/>
  </r>
  <r>
    <s v="T1177"/>
    <x v="1"/>
    <s v="only declined gambling"/>
    <x v="0"/>
    <x v="0"/>
  </r>
  <r>
    <s v="T1182"/>
    <x v="0"/>
    <s v="high amount+nigh+declined"/>
    <x v="0"/>
    <x v="0"/>
  </r>
  <r>
    <s v="T1183"/>
    <x v="0"/>
    <s v="high amount+nigh+declined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101"/>
    <n v="17"/>
    <n v="59906"/>
    <n v="3523.8823529411766"/>
    <n v="2"/>
    <n v="0.11764705882352941"/>
    <n v="0.29411764705882354"/>
    <n v="3"/>
    <s v="NORMAL"/>
    <s v="NORMAL"/>
    <s v="NORMAL"/>
    <s v="HIGH_ACTIVITY"/>
    <x v="0"/>
  </r>
  <r>
    <s v="C102"/>
    <n v="7"/>
    <n v="17154"/>
    <n v="2450.5714285714284"/>
    <n v="2"/>
    <n v="0.2857142857142857"/>
    <n v="0.14285714285714285"/>
    <n v="2"/>
    <s v="NORMAL"/>
    <s v="NORMAL"/>
    <s v="NORMAL"/>
    <s v="NORMAL"/>
    <x v="1"/>
  </r>
  <r>
    <s v="C103"/>
    <n v="7"/>
    <n v="43924"/>
    <n v="6274.8571428571431"/>
    <n v="0"/>
    <n v="0"/>
    <n v="0.14285714285714285"/>
    <n v="0"/>
    <s v="NORMAL"/>
    <s v="NORMAL"/>
    <s v="NORMAL"/>
    <s v="NORMAL"/>
    <x v="1"/>
  </r>
  <r>
    <s v="C104"/>
    <n v="21"/>
    <n v="101902"/>
    <n v="4852.4761904761908"/>
    <n v="7"/>
    <n v="0.33333333333333331"/>
    <n v="0.38095238095238093"/>
    <n v="8"/>
    <s v="NORMAL"/>
    <s v="NORMAL"/>
    <s v="HIGH_RISK_ACTIVITY"/>
    <s v="HIGH_ACTIVITY"/>
    <x v="2"/>
  </r>
  <r>
    <s v="C105"/>
    <n v="12"/>
    <n v="44335"/>
    <n v="3694.5833333333335"/>
    <n v="4"/>
    <n v="0.33333333333333331"/>
    <n v="0.33333333333333331"/>
    <n v="6"/>
    <s v="NORMAL"/>
    <s v="NORMAL"/>
    <s v="HIGH_RISK_ACTIVITY"/>
    <s v="NORMAL"/>
    <x v="3"/>
  </r>
  <r>
    <s v="C106"/>
    <n v="14"/>
    <n v="74503"/>
    <n v="5321.6428571428569"/>
    <n v="6"/>
    <n v="0.42857142857142855"/>
    <n v="0.35714285714285715"/>
    <n v="4"/>
    <s v="HIGH_DECLINE"/>
    <s v="NORMAL"/>
    <s v="NORMAL"/>
    <s v="NORMAL"/>
    <x v="0"/>
  </r>
  <r>
    <s v="C107"/>
    <n v="13"/>
    <n v="49277"/>
    <n v="3790.5384615384614"/>
    <n v="5"/>
    <n v="0.38461538461538464"/>
    <n v="0.46153846153846156"/>
    <n v="5"/>
    <s v="NORMAL"/>
    <s v="NORMAL"/>
    <s v="HIGH_RISK_ACTIVITY"/>
    <s v="NORMAL"/>
    <x v="3"/>
  </r>
  <r>
    <s v="C108"/>
    <n v="11"/>
    <n v="95109"/>
    <n v="8646.2727272727279"/>
    <n v="4"/>
    <n v="0.36363636363636365"/>
    <n v="9.0909090909090912E-2"/>
    <n v="4"/>
    <s v="NORMAL"/>
    <s v="NORMAL"/>
    <s v="NORMAL"/>
    <s v="NORMAL"/>
    <x v="1"/>
  </r>
  <r>
    <s v="C109"/>
    <n v="19"/>
    <n v="92155"/>
    <n v="4850.2631578947367"/>
    <n v="6"/>
    <n v="0.31578947368421051"/>
    <n v="0.47368421052631576"/>
    <n v="9"/>
    <s v="NORMAL"/>
    <s v="NORMAL"/>
    <s v="HIGH_RISK_ACTIVITY"/>
    <s v="HIGH_ACTIVITY"/>
    <x v="2"/>
  </r>
  <r>
    <s v="C110"/>
    <n v="16"/>
    <n v="47880"/>
    <n v="2992.5"/>
    <n v="4"/>
    <n v="0.25"/>
    <n v="6.25E-2"/>
    <n v="4"/>
    <s v="NORMAL"/>
    <s v="NORMAL"/>
    <s v="NORMAL"/>
    <s v="HIGH_ACTIVITY"/>
    <x v="0"/>
  </r>
  <r>
    <s v="C111"/>
    <n v="5"/>
    <n v="27557"/>
    <n v="5511.4"/>
    <n v="2"/>
    <n v="0.4"/>
    <n v="0.8"/>
    <n v="4"/>
    <s v="HIGH_DECLINE"/>
    <s v="HIGH_ACTIVITY"/>
    <s v="NORMAL"/>
    <s v="NORMAL"/>
    <x v="3"/>
  </r>
  <r>
    <s v="C112"/>
    <n v="7"/>
    <n v="58188"/>
    <n v="8312.5714285714294"/>
    <n v="2"/>
    <n v="0.2857142857142857"/>
    <n v="0.42857142857142855"/>
    <n v="3"/>
    <s v="NORMAL"/>
    <s v="NORMAL"/>
    <s v="NORMAL"/>
    <s v="NORMAL"/>
    <x v="1"/>
  </r>
  <r>
    <s v="C113"/>
    <n v="6"/>
    <n v="47869"/>
    <n v="7978.166666666667"/>
    <n v="2"/>
    <n v="0.33333333333333331"/>
    <n v="0.33333333333333331"/>
    <n v="2"/>
    <s v="NORMAL"/>
    <s v="NORMAL"/>
    <s v="NORMAL"/>
    <s v="NORMAL"/>
    <x v="1"/>
  </r>
  <r>
    <s v="C114"/>
    <n v="9"/>
    <n v="37104"/>
    <n v="4122.666666666667"/>
    <n v="2"/>
    <n v="0.22222222222222221"/>
    <n v="0.1111111111111111"/>
    <n v="1"/>
    <s v="NORMAL"/>
    <s v="NORMAL"/>
    <s v="NORMAL"/>
    <s v="NORMAL"/>
    <x v="1"/>
  </r>
  <r>
    <s v="C115"/>
    <n v="9"/>
    <n v="26847"/>
    <n v="2983"/>
    <n v="2"/>
    <n v="0.22222222222222221"/>
    <n v="0.44444444444444442"/>
    <n v="2"/>
    <s v="NORMAL"/>
    <s v="NORMAL"/>
    <s v="NORMAL"/>
    <s v="NORMAL"/>
    <x v="1"/>
  </r>
  <r>
    <s v="C116"/>
    <n v="7"/>
    <n v="15367"/>
    <n v="2195.2857142857142"/>
    <n v="0"/>
    <n v="0"/>
    <n v="0.42857142857142855"/>
    <n v="1"/>
    <s v="NORMAL"/>
    <s v="NORMAL"/>
    <s v="NORMAL"/>
    <s v="NORMAL"/>
    <x v="1"/>
  </r>
  <r>
    <s v="C117"/>
    <n v="5"/>
    <n v="18622"/>
    <n v="3724.4"/>
    <n v="2"/>
    <n v="0.4"/>
    <n v="0.4"/>
    <n v="1"/>
    <s v="HIGH_DECLINE"/>
    <s v="NORMAL"/>
    <s v="NORMAL"/>
    <s v="NORMAL"/>
    <x v="0"/>
  </r>
  <r>
    <s v="C118"/>
    <n v="7"/>
    <n v="44972"/>
    <n v="6424.5714285714284"/>
    <n v="3"/>
    <n v="0.42857142857142855"/>
    <n v="0.14285714285714285"/>
    <n v="1"/>
    <s v="HIGH_DECLINE"/>
    <s v="NORMAL"/>
    <s v="NORMAL"/>
    <s v="NORMAL"/>
    <x v="0"/>
  </r>
  <r>
    <s v="C119"/>
    <n v="2"/>
    <n v="16894"/>
    <n v="8447"/>
    <n v="0"/>
    <n v="0"/>
    <n v="0"/>
    <n v="0"/>
    <s v="NORMAL"/>
    <s v="NORMAL"/>
    <s v="NORMAL"/>
    <s v="NORMAL"/>
    <x v="1"/>
  </r>
  <r>
    <s v="C120"/>
    <n v="6"/>
    <n v="24451"/>
    <n v="4075.1666666666665"/>
    <n v="1"/>
    <n v="0.16666666666666666"/>
    <n v="0.33333333333333331"/>
    <n v="1"/>
    <s v="NORMAL"/>
    <s v="NORMAL"/>
    <s v="NORMAL"/>
    <s v="NORM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ACCDA-56D4-4405-BA4B-F5A0B8D86DB0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1" firstDataRow="2" firstDataCol="1"/>
  <pivotFields count="14">
    <pivotField dataField="1"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87BE0-FC3E-4EA2-A899-EC7B899A6286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D10" firstHeaderRow="1" firstDataRow="2" firstDataCol="1"/>
  <pivotFields count="14">
    <pivotField compact="0" outline="0" showAll="0"/>
    <pivotField compact="0" numFmtId="22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1"/>
        <item x="4"/>
        <item x="0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amount" fld="4" baseField="0" baseItem="0"/>
  </dataFields>
  <formats count="4">
    <format dxfId="28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29">
      <pivotArea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format>
    <format dxfId="30">
      <pivotArea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format>
    <format dxfId="31">
      <pivotArea field="11" grandCol="1" outline="0" axis="axisCol" fieldPosition="0">
        <references count="1">
          <reference field="4294967294" count="1" selected="0">
            <x v="0"/>
          </reference>
        </references>
      </pivotArea>
    </format>
  </formats>
  <chartFormats count="10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6206-223D-4D01-8DA5-9950F822F4EC}" name="PivotTable2" cacheId="61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compact="0" compactData="0" multipleFieldFilters="0" chartFormat="1">
  <location ref="A3:E8" firstHeaderRow="1" firstDataRow="2" firstDataCol="1"/>
  <pivotFields count="14">
    <pivotField dataField="1"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Count of transaction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A9C00-AFF1-4B55-8174-F763477A5ADA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24:D29" firstHeaderRow="1" firstDataRow="1" firstDataCol="1"/>
  <pivotFields count="13">
    <pivotField dataField="1"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26D62-2058-4ECF-A6BA-4AD308072E75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F3:I11" firstHeaderRow="1" firstDataRow="2" firstDataCol="1"/>
  <pivotFields count="14">
    <pivotField dataField="1"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2"/>
        <item x="1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transaction_id" fld="0" subtotal="count" showDataAs="percentOfRow" baseField="0" baseItem="0" numFmtId="10"/>
  </dataFields>
  <chartFormats count="14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03F3C-98BC-4E9E-9956-EBCF51B07C26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 rowPageCount="1" colPageCount="1"/>
  <pivotFields count="14">
    <pivotField dataField="1"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2"/>
        <item x="1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item="0" hier="-1"/>
  </pageFields>
  <dataFields count="1">
    <dataField name="Count of transaction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A7F9E-C64B-4ED1-938D-FC47982FD0C4}" name="PivotTable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L6" firstHeaderRow="1" firstDataRow="2" firstDataCol="1"/>
  <pivotFields count="5">
    <pivotField dataField="1"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786C0-376A-46B1-802F-EDCEE572439A}" name="PivotTable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3:L19" firstHeaderRow="1" firstDataRow="2" firstDataCol="1"/>
  <pivotFields count="5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5">
        <item x="2"/>
        <item x="3"/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transaction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6391E-1B1A-45C8-8B7B-790A06BB0893}" name="CustomersTable" displayName="CustomersTable" ref="A1:D21" totalsRowShown="0" headerRowDxfId="27" dataDxfId="26">
  <autoFilter ref="A1:D21" xr:uid="{3986391E-1B1A-45C8-8B7B-790A06BB0893}"/>
  <tableColumns count="4">
    <tableColumn id="1" xr3:uid="{4B3F32FA-DC1C-4DFD-BC9B-7CC23CA38793}" name="customer_id" dataDxfId="25"/>
    <tableColumn id="2" xr3:uid="{9D28D33C-A20A-4A1A-948E-B1693D324B61}" name="customer_segment" dataDxfId="24"/>
    <tableColumn id="3" xr3:uid="{6382B6D3-A713-4B98-99D4-554D4DE90694}" name="account_age_days" dataDxfId="23"/>
    <tableColumn id="4" xr3:uid="{4026EEA8-4FEF-4469-8D87-DB3DEBED578A}" name="risk_category_initial" dataDxfId="2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DD172-91A3-422D-85F7-962F4427B341}" name="ChannelsTable" displayName="ChannelsTable" ref="A1:B5" totalsRowShown="0">
  <autoFilter ref="A1:B5" xr:uid="{654DD172-91A3-422D-85F7-962F4427B341}"/>
  <tableColumns count="2">
    <tableColumn id="1" xr3:uid="{CDC87997-7784-4BE0-A18B-5B0C0E027F48}" name="channel_id"/>
    <tableColumn id="2" xr3:uid="{DBB9B808-77EE-4E6E-939D-8DE21F8D311D}" name="channel_nam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75EA78-537B-453D-9403-66DFA452C43F}" name="TransactionsTable" displayName="TransactionsTable" ref="A1:N201" totalsRowShown="0">
  <autoFilter ref="A1:N201" xr:uid="{8975EA78-537B-453D-9403-66DFA452C43F}"/>
  <tableColumns count="14">
    <tableColumn id="1" xr3:uid="{4A588DEB-08C8-493E-8316-819F320886D5}" name="transaction_id"/>
    <tableColumn id="2" xr3:uid="{DA5D5B3C-3A31-4ED0-9B2F-BE34D2A9E458}" name="transaction_timestamp" dataDxfId="21"/>
    <tableColumn id="3" xr3:uid="{9C3FC753-6436-4195-ACD9-5ED63F6406C4}" name="customer_id"/>
    <tableColumn id="4" xr3:uid="{173B7A94-6E81-4D41-969E-7DEE10820469}" name="channel_id"/>
    <tableColumn id="5" xr3:uid="{A704C922-3515-4CFA-80A5-44C3227C5077}" name="amount"/>
    <tableColumn id="6" xr3:uid="{90B82B7A-8B71-4ED9-BA3C-63974DAAD589}" name="status"/>
    <tableColumn id="7" xr3:uid="{815E13C3-6D2C-4785-B5CE-0E6EE929A5FC}" name="is_night_transaction"/>
    <tableColumn id="8" xr3:uid="{D7183546-5A7C-4D26-A10D-E51E0718B4DE}" name="merchant_category"/>
    <tableColumn id="9" xr3:uid="{ACCEC8E6-A0CB-456F-867C-5F5F6E54E001}" name="customer_segment" dataDxfId="20">
      <calculatedColumnFormula>_xlfn.XLOOKUP(C2, CustomersTable[customer_id], CustomersTable[customer_segment])</calculatedColumnFormula>
    </tableColumn>
    <tableColumn id="10" xr3:uid="{588C518E-FCC8-4A81-8D20-5BA5AFD4A257}" name="channel_name" dataDxfId="19">
      <calculatedColumnFormula>_xlfn.XLOOKUP(D2,ChannelsTable[channel_id],ChannelsTable[channel_name])</calculatedColumnFormula>
    </tableColumn>
    <tableColumn id="11" xr3:uid="{02268F15-CC02-4FF0-B9E0-69EEDCE58482}" name="account_age_days" dataDxfId="18">
      <calculatedColumnFormula>_xlfn.XLOOKUP(C2, CustomersTable[customer_id], CustomersTable[account_age_days])</calculatedColumnFormula>
    </tableColumn>
    <tableColumn id="12" xr3:uid="{62581DF9-5505-42E0-94E5-0C5B9060BE6C}" name="risk_flag" dataDxfId="17">
      <calculatedColumnFormula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calculatedColumnFormula>
    </tableColumn>
    <tableColumn id="13" xr3:uid="{D2C6992B-48DD-4195-AB43-A66861CF9F00}" name="manual_review_priority" dataDxfId="16">
      <calculatedColumnFormula array="1">_xlfn.IFS(AND(L2="HIGH_RISK", OR(I2="VIP", I2="Corporate")), "URGENT",AND(L2="HIGH_RISK", I2="Retail"), "HIGH",F2="DECLINED", "MEDIUM",TRUE, "LOW")</calculatedColumnFormula>
    </tableColumn>
    <tableColumn id="14" xr3:uid="{B27DBD3F-6AE3-4637-8E3C-C600CE2F594C}" name="customer_risk_score" dataDxfId="15">
      <calculatedColumnFormula>_xlfn.XLOOKUP(TransactionsTable[[#This Row],[customer_id]],Table4[customer_id],Table4[risk_score])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9C674B-E1D4-41A5-BB4A-385F1CD4430A}" name="Table4" displayName="Table4" ref="A1:M21" totalsRowShown="0">
  <autoFilter ref="A1:M21" xr:uid="{1A9C674B-E1D4-41A5-BB4A-385F1CD4430A}"/>
  <sortState xmlns:xlrd2="http://schemas.microsoft.com/office/spreadsheetml/2017/richdata2" ref="A2:H21">
    <sortCondition ref="A1:A21"/>
  </sortState>
  <tableColumns count="13">
    <tableColumn id="1" xr3:uid="{686C3C61-152D-4268-BA81-4AF347CAD4FF}" name="customer_id" dataDxfId="14"/>
    <tableColumn id="2" xr3:uid="{C2DF5A71-BAA9-4457-96FB-D1B2169C4382}" name="transaction_count">
      <calculatedColumnFormula>COUNTIF(TransactionsTable[customer_id],Customer_Risk_Profile!A2)</calculatedColumnFormula>
    </tableColumn>
    <tableColumn id="3" xr3:uid="{9DFB8E8E-265B-45F8-8F5E-68DA9FC33183}" name="total_amount" dataDxfId="13">
      <calculatedColumnFormula>SUMIF(TransactionsTable[customer_id],Customer_Risk_Profile!A2,TransactionsTable[amount])</calculatedColumnFormula>
    </tableColumn>
    <tableColumn id="4" xr3:uid="{29CAE71F-A394-417C-B54D-1AA9558A6E43}" name="avg_amount" dataDxfId="12">
      <calculatedColumnFormula>C2/B2</calculatedColumnFormula>
    </tableColumn>
    <tableColumn id="5" xr3:uid="{286CAAD1-F836-4C79-8336-3EDE11E99687}" name="decline_count" dataDxfId="11">
      <calculatedColumnFormula>COUNTIFS(TransactionsTable[customer_id],A2,TransactionsTable[status],"DECLINED")</calculatedColumnFormula>
    </tableColumn>
    <tableColumn id="6" xr3:uid="{496E3B1E-2F36-4469-B275-F2A50C314FBC}" name="decline_rate" dataDxfId="10">
      <calculatedColumnFormula>IFERROR(E2/B2,0)</calculatedColumnFormula>
    </tableColumn>
    <tableColumn id="7" xr3:uid="{9C5DBDF9-6BBD-43AF-8919-ACAF880B30D9}" name="night_transaction_rate" dataDxfId="9">
      <calculatedColumnFormula>COUNTIFS(TransactionsTable[customer_id],Table4[[#This Row],[customer_id]],TransactionsTable[is_night_transaction],1)/Table4[[#This Row],[transaction_count]]</calculatedColumnFormula>
    </tableColumn>
    <tableColumn id="8" xr3:uid="{521C5860-4B6A-460E-9884-950039C7DEA7}" name="high_risk_count" dataDxfId="8">
      <calculatedColumnFormula>COUNTIFS(TransactionsTable[customer_id],Table4[[#This Row],[customer_id]],TransactionsTable[risk_flag],"HIGH_RISK")</calculatedColumnFormula>
    </tableColumn>
    <tableColumn id="9" xr3:uid="{386A9AF8-000B-4328-889F-F81254E83914}" name="high_decline_flag" dataDxfId="7">
      <calculatedColumnFormula>IF(Table4[[#This Row],[decline_rate]]&gt;=40%,"HIGH_DECLINE","NORMAL")</calculatedColumnFormula>
    </tableColumn>
    <tableColumn id="10" xr3:uid="{C5CA83D1-EE01-4E2A-98CE-316931A271BF}" name="night_activity_flag" dataDxfId="6">
      <calculatedColumnFormula>IF(Table4[[#This Row],[night_transaction_rate]]&gt;=50%,"HIGH_ACTIVITY","NORMAL")</calculatedColumnFormula>
    </tableColumn>
    <tableColumn id="11" xr3:uid="{0952101A-7BBF-4447-86BB-1096402A1DF0}" name="high_risk_tx_flag" dataDxfId="5">
      <calculatedColumnFormula>IF(Table4[[#This Row],[high_risk_count]]&gt;=5,"HIGH_RISK_ACTIVITY","NORMAL")</calculatedColumnFormula>
    </tableColumn>
    <tableColumn id="12" xr3:uid="{86A1BB3F-10FD-4B17-A5A5-10D67D025A0A}" name="high_activity_flag" dataDxfId="4">
      <calculatedColumnFormula>IF(Table4[[#This Row],[transaction_count]]&gt;=15,"HIGH_ACTIVITY","NORMAL")</calculatedColumnFormula>
    </tableColumn>
    <tableColumn id="13" xr3:uid="{33E3621D-0E8A-4C5B-8BD3-7DBD11FC58FA}" name="risk_score" dataDxfId="3">
      <calculatedColumnFormula>IF(Table4[[#This Row],[high_decline_flag]]="HIGH_DECLINE",1,0)+IF(Table4[[#This Row],[night_activity_flag]]="HIGH_ACTIVITY",1,0)+IF(Table4[[#This Row],[high_risk_tx_flag]]="HIGH_RISK_ACTIVITY",2,0)+IF(Table4[[#This Row],[high_activity_flag]]="HIGH_ACTIVITY",1,0)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3C4A25-D8D3-412D-B5BF-8DECB03C7D8A}" name="Table5" displayName="Table5" ref="A1:E21" totalsRowShown="0">
  <autoFilter ref="A1:E21" xr:uid="{8D3C4A25-D8D3-412D-B5BF-8DECB03C7D8A}"/>
  <tableColumns count="5">
    <tableColumn id="1" xr3:uid="{0BF06FDD-F645-4C8D-8929-AC4E70E750C8}" name="transaction_id" dataDxfId="2"/>
    <tableColumn id="2" xr3:uid="{700D9BE1-FFAB-4FD7-B25B-FEFDE2E7405B}" name="review_result"/>
    <tableColumn id="3" xr3:uid="{C993FC6B-7E1C-4254-A649-9BBFA53A3B1E}" name="review_reason"/>
    <tableColumn id="4" xr3:uid="{03BD523F-3F1E-4E31-813A-A5889D4B76BA}" name="manual_review_priority" dataDxfId="1">
      <calculatedColumnFormula>_xlfn.XLOOKUP(Table5[[#This Row],[transaction_id]],Fact_Transactions!A4:A200,Fact_Transactions!M4:M200)</calculatedColumnFormula>
    </tableColumn>
    <tableColumn id="5" xr3:uid="{2DD2A70E-56E4-468C-89C1-1E9D4FDF087C}" name="customer_risk_score" dataDxfId="0">
      <calculatedColumnFormula>_xlfn.XLOOKUP(Table5[[#This Row],[transaction_id]],TransactionsTable[transaction_id],TransactionsTable[customer_risk_score])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1E05-5A63-4CF6-A7B2-54EFEF0EE831}">
  <dimension ref="A1:H25"/>
  <sheetViews>
    <sheetView showGridLines="0" workbookViewId="0">
      <selection activeCell="S15" sqref="S15"/>
    </sheetView>
  </sheetViews>
  <sheetFormatPr defaultRowHeight="15"/>
  <cols>
    <col min="1" max="1" width="16.42578125" customWidth="1"/>
    <col min="2" max="2" width="25.7109375" customWidth="1"/>
    <col min="3" max="3" width="19.85546875" customWidth="1"/>
    <col min="4" max="4" width="25.28515625" customWidth="1"/>
    <col min="5" max="5" width="25.7109375" customWidth="1"/>
    <col min="6" max="6" width="18.5703125" customWidth="1"/>
    <col min="7" max="7" width="18.7109375" customWidth="1"/>
    <col min="8" max="8" width="16" customWidth="1"/>
  </cols>
  <sheetData>
    <row r="1" spans="1:8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</row>
    <row r="2" spans="1:8" ht="15.75">
      <c r="A2" s="31">
        <f>COUNTA(TransactionsTable[transaction_id])</f>
        <v>200</v>
      </c>
      <c r="B2" s="31">
        <f>COUNTIF(TransactionsTable[risk_flag],"HIGH_RISK")</f>
        <v>61</v>
      </c>
      <c r="C2" s="32">
        <f>B2/A2</f>
        <v>0.30499999999999999</v>
      </c>
      <c r="D2" s="31">
        <f>COUNTA(Table5[transaction_id])</f>
        <v>20</v>
      </c>
      <c r="E2" s="31">
        <f>Fact_Reviews!J6</f>
        <v>15</v>
      </c>
      <c r="F2" s="32">
        <f>Fact_Reviews!J6/Fact_Reviews!L6</f>
        <v>0.75</v>
      </c>
    </row>
    <row r="5" spans="1:8">
      <c r="G5" t="s">
        <v>6</v>
      </c>
      <c r="H5" t="s">
        <v>2</v>
      </c>
    </row>
    <row r="6" spans="1:8">
      <c r="F6" s="33"/>
      <c r="G6" s="26" t="s">
        <v>7</v>
      </c>
      <c r="H6" s="29">
        <f>_xlfn.XLOOKUP(G6,'Rule Effectiveness Analysis'!F4:F9,'Rule Effectiveness Analysis'!G4:G9)</f>
        <v>0</v>
      </c>
    </row>
    <row r="7" spans="1:8">
      <c r="G7" s="26" t="s">
        <v>8</v>
      </c>
      <c r="H7" s="29">
        <f>_xlfn.XLOOKUP(G7,'Rule Effectiveness Analysis'!F5:F10,'Rule Effectiveness Analysis'!G5:G10)</f>
        <v>0.53125</v>
      </c>
    </row>
    <row r="8" spans="1:8">
      <c r="G8" s="26" t="s">
        <v>9</v>
      </c>
      <c r="H8" s="29">
        <f>_xlfn.XLOOKUP(G8,'Rule Effectiveness Analysis'!F6:F11,'Rule Effectiveness Analysis'!G6:G11)</f>
        <v>0.25</v>
      </c>
    </row>
    <row r="9" spans="1:8">
      <c r="G9" s="26" t="s">
        <v>10</v>
      </c>
      <c r="H9" s="29">
        <f>_xlfn.XLOOKUP(G9,'Rule Effectiveness Analysis'!F7:F12,'Rule Effectiveness Analysis'!G7:G12)</f>
        <v>0.47368421052631576</v>
      </c>
    </row>
    <row r="10" spans="1:8">
      <c r="G10" s="26" t="s">
        <v>11</v>
      </c>
      <c r="H10" s="29">
        <f>_xlfn.XLOOKUP(G10,'Rule Effectiveness Analysis'!F8:F13,'Rule Effectiveness Analysis'!G8:G13)</f>
        <v>7.4999999999999997E-2</v>
      </c>
    </row>
    <row r="11" spans="1:8">
      <c r="G11" s="26" t="s">
        <v>12</v>
      </c>
      <c r="H11" s="29">
        <f>_xlfn.XLOOKUP(G11,'Rule Effectiveness Analysis'!F9:F14,'Rule Effectiveness Analysis'!G9:G14)</f>
        <v>0.27272727272727271</v>
      </c>
    </row>
    <row r="21" spans="7:7" ht="15.75">
      <c r="G21" s="34" t="s">
        <v>13</v>
      </c>
    </row>
    <row r="22" spans="7:7">
      <c r="G22" t="s">
        <v>14</v>
      </c>
    </row>
    <row r="23" spans="7:7">
      <c r="G23" t="s">
        <v>15</v>
      </c>
    </row>
    <row r="24" spans="7:7">
      <c r="G24" t="s">
        <v>16</v>
      </c>
    </row>
    <row r="25" spans="7:7">
      <c r="G25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C10" sqref="C10"/>
    </sheetView>
  </sheetViews>
  <sheetFormatPr defaultRowHeight="15"/>
  <cols>
    <col min="1" max="1" width="14.42578125" customWidth="1"/>
    <col min="2" max="2" width="20.7109375" customWidth="1"/>
    <col min="3" max="3" width="20" customWidth="1"/>
    <col min="4" max="4" width="21.42578125" customWidth="1"/>
  </cols>
  <sheetData>
    <row r="1" spans="1:4">
      <c r="A1" s="2" t="s">
        <v>18</v>
      </c>
      <c r="B1" s="3" t="s">
        <v>19</v>
      </c>
      <c r="C1" s="2" t="s">
        <v>20</v>
      </c>
      <c r="D1" s="2" t="s">
        <v>21</v>
      </c>
    </row>
    <row r="2" spans="1:4">
      <c r="A2" s="1" t="s">
        <v>22</v>
      </c>
      <c r="B2" s="1" t="s">
        <v>23</v>
      </c>
      <c r="C2" s="1">
        <v>1200</v>
      </c>
      <c r="D2" s="1" t="s">
        <v>24</v>
      </c>
    </row>
    <row r="3" spans="1:4">
      <c r="A3" s="1" t="s">
        <v>25</v>
      </c>
      <c r="B3" s="1" t="s">
        <v>11</v>
      </c>
      <c r="C3" s="1">
        <v>450</v>
      </c>
      <c r="D3" s="1" t="s">
        <v>24</v>
      </c>
    </row>
    <row r="4" spans="1:4">
      <c r="A4" s="1" t="s">
        <v>26</v>
      </c>
      <c r="B4" s="1" t="s">
        <v>7</v>
      </c>
      <c r="C4" s="1">
        <v>890</v>
      </c>
      <c r="D4" s="1" t="s">
        <v>24</v>
      </c>
    </row>
    <row r="5" spans="1:4">
      <c r="A5" s="1" t="s">
        <v>27</v>
      </c>
      <c r="B5" s="1" t="s">
        <v>11</v>
      </c>
      <c r="C5" s="1">
        <v>15</v>
      </c>
      <c r="D5" s="1" t="s">
        <v>28</v>
      </c>
    </row>
    <row r="6" spans="1:4">
      <c r="A6" s="1" t="s">
        <v>29</v>
      </c>
      <c r="B6" s="1" t="s">
        <v>11</v>
      </c>
      <c r="C6" s="1">
        <v>320</v>
      </c>
      <c r="D6" s="1" t="s">
        <v>30</v>
      </c>
    </row>
    <row r="7" spans="1:4">
      <c r="A7" s="1" t="s">
        <v>31</v>
      </c>
      <c r="B7" s="1" t="s">
        <v>23</v>
      </c>
      <c r="C7" s="1">
        <v>2100</v>
      </c>
      <c r="D7" s="1" t="s">
        <v>24</v>
      </c>
    </row>
    <row r="8" spans="1:4">
      <c r="A8" s="1" t="s">
        <v>32</v>
      </c>
      <c r="B8" s="1" t="s">
        <v>11</v>
      </c>
      <c r="C8" s="1">
        <v>8</v>
      </c>
      <c r="D8" s="1" t="s">
        <v>28</v>
      </c>
    </row>
    <row r="9" spans="1:4">
      <c r="A9" s="1" t="s">
        <v>33</v>
      </c>
      <c r="B9" s="1" t="s">
        <v>7</v>
      </c>
      <c r="C9" s="1">
        <v>1400</v>
      </c>
      <c r="D9" s="1" t="s">
        <v>24</v>
      </c>
    </row>
    <row r="10" spans="1:4">
      <c r="A10" s="1" t="s">
        <v>34</v>
      </c>
      <c r="B10" s="1" t="s">
        <v>11</v>
      </c>
      <c r="C10" s="1">
        <v>60</v>
      </c>
      <c r="D10" s="1" t="s">
        <v>30</v>
      </c>
    </row>
    <row r="11" spans="1:4">
      <c r="A11" s="1" t="s">
        <v>35</v>
      </c>
      <c r="B11" s="1" t="s">
        <v>23</v>
      </c>
      <c r="C11" s="1">
        <v>950</v>
      </c>
      <c r="D11" s="1" t="s">
        <v>24</v>
      </c>
    </row>
    <row r="12" spans="1:4">
      <c r="A12" s="1" t="s">
        <v>36</v>
      </c>
      <c r="B12" s="1" t="s">
        <v>11</v>
      </c>
      <c r="C12" s="1">
        <v>66</v>
      </c>
      <c r="D12" s="1" t="s">
        <v>24</v>
      </c>
    </row>
    <row r="13" spans="1:4">
      <c r="A13" s="1" t="s">
        <v>37</v>
      </c>
      <c r="B13" s="1" t="s">
        <v>11</v>
      </c>
      <c r="C13" s="1">
        <v>10</v>
      </c>
      <c r="D13" s="1" t="s">
        <v>24</v>
      </c>
    </row>
    <row r="14" spans="1:4">
      <c r="A14" s="1" t="s">
        <v>38</v>
      </c>
      <c r="B14" s="1" t="s">
        <v>7</v>
      </c>
      <c r="C14" s="1">
        <v>762</v>
      </c>
      <c r="D14" s="1" t="s">
        <v>30</v>
      </c>
    </row>
    <row r="15" spans="1:4">
      <c r="A15" s="1" t="s">
        <v>39</v>
      </c>
      <c r="B15" s="1" t="s">
        <v>11</v>
      </c>
      <c r="C15" s="1">
        <v>544</v>
      </c>
      <c r="D15" s="1" t="s">
        <v>30</v>
      </c>
    </row>
    <row r="16" spans="1:4">
      <c r="A16" s="1" t="s">
        <v>40</v>
      </c>
      <c r="B16" s="1" t="s">
        <v>23</v>
      </c>
      <c r="C16" s="1">
        <v>1560</v>
      </c>
      <c r="D16" s="1" t="s">
        <v>28</v>
      </c>
    </row>
    <row r="17" spans="1:4">
      <c r="A17" s="1" t="s">
        <v>41</v>
      </c>
      <c r="B17" s="1" t="s">
        <v>23</v>
      </c>
      <c r="C17" s="1">
        <v>845</v>
      </c>
      <c r="D17" s="1" t="s">
        <v>28</v>
      </c>
    </row>
    <row r="18" spans="1:4">
      <c r="A18" s="1" t="s">
        <v>42</v>
      </c>
      <c r="B18" s="1" t="s">
        <v>11</v>
      </c>
      <c r="C18" s="1">
        <v>360</v>
      </c>
      <c r="D18" s="1" t="s">
        <v>24</v>
      </c>
    </row>
    <row r="19" spans="1:4">
      <c r="A19" s="1" t="s">
        <v>43</v>
      </c>
      <c r="B19" s="1" t="s">
        <v>11</v>
      </c>
      <c r="C19" s="1">
        <v>442</v>
      </c>
      <c r="D19" s="1" t="s">
        <v>24</v>
      </c>
    </row>
    <row r="20" spans="1:4">
      <c r="A20" s="1" t="s">
        <v>44</v>
      </c>
      <c r="B20" s="1" t="s">
        <v>7</v>
      </c>
      <c r="C20" s="1">
        <v>1490</v>
      </c>
      <c r="D20" s="1" t="s">
        <v>28</v>
      </c>
    </row>
    <row r="21" spans="1:4">
      <c r="A21" s="1" t="s">
        <v>45</v>
      </c>
      <c r="B21" s="1" t="s">
        <v>23</v>
      </c>
      <c r="C21" s="1">
        <v>1671</v>
      </c>
      <c r="D21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4244-192E-46D1-83C5-DD46BF4CD71C}">
  <dimension ref="A1:B5"/>
  <sheetViews>
    <sheetView workbookViewId="0">
      <selection activeCell="G16" sqref="G16"/>
    </sheetView>
  </sheetViews>
  <sheetFormatPr defaultRowHeight="15"/>
  <cols>
    <col min="1" max="1" width="13.140625" bestFit="1" customWidth="1"/>
    <col min="2" max="2" width="16.5703125" bestFit="1" customWidth="1"/>
    <col min="3" max="3" width="12.7109375" bestFit="1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D99A-615C-4A67-941C-A8A36A22F633}">
  <dimension ref="A1:N201"/>
  <sheetViews>
    <sheetView topLeftCell="B1" workbookViewId="0">
      <selection activeCell="M3" sqref="M3"/>
    </sheetView>
  </sheetViews>
  <sheetFormatPr defaultRowHeight="15"/>
  <cols>
    <col min="1" max="1" width="16.28515625" bestFit="1" customWidth="1"/>
    <col min="2" max="2" width="24.5703125" bestFit="1" customWidth="1"/>
    <col min="3" max="3" width="14.42578125" bestFit="1" customWidth="1"/>
    <col min="4" max="4" width="13.140625" bestFit="1" customWidth="1"/>
    <col min="5" max="6" width="11.28515625" customWidth="1"/>
    <col min="7" max="7" width="21.5703125" bestFit="1" customWidth="1"/>
    <col min="8" max="8" width="20.85546875" bestFit="1" customWidth="1"/>
    <col min="9" max="9" width="20.7109375" bestFit="1" customWidth="1"/>
    <col min="10" max="10" width="16.5703125" bestFit="1" customWidth="1"/>
    <col min="11" max="11" width="20" bestFit="1" customWidth="1"/>
    <col min="12" max="12" width="10.85546875" customWidth="1"/>
    <col min="13" max="13" width="24.5703125" bestFit="1" customWidth="1"/>
    <col min="14" max="14" width="22.140625" bestFit="1" customWidth="1"/>
  </cols>
  <sheetData>
    <row r="1" spans="1:14">
      <c r="A1" t="s">
        <v>56</v>
      </c>
      <c r="B1" t="s">
        <v>57</v>
      </c>
      <c r="C1" t="s">
        <v>18</v>
      </c>
      <c r="D1" t="s">
        <v>46</v>
      </c>
      <c r="E1" t="s">
        <v>58</v>
      </c>
      <c r="F1" t="s">
        <v>59</v>
      </c>
      <c r="G1" t="s">
        <v>60</v>
      </c>
      <c r="H1" t="s">
        <v>61</v>
      </c>
      <c r="I1" t="s">
        <v>19</v>
      </c>
      <c r="J1" t="s">
        <v>47</v>
      </c>
      <c r="K1" t="s">
        <v>20</v>
      </c>
      <c r="L1" t="s">
        <v>62</v>
      </c>
      <c r="M1" t="s">
        <v>63</v>
      </c>
      <c r="N1" t="s">
        <v>64</v>
      </c>
    </row>
    <row r="2" spans="1:14">
      <c r="A2" t="s">
        <v>65</v>
      </c>
      <c r="B2" s="4">
        <v>46082.333333333336</v>
      </c>
      <c r="C2" t="s">
        <v>22</v>
      </c>
      <c r="D2" t="s">
        <v>52</v>
      </c>
      <c r="E2">
        <v>2600</v>
      </c>
      <c r="F2" t="s">
        <v>66</v>
      </c>
      <c r="G2">
        <v>0</v>
      </c>
      <c r="H2" t="s">
        <v>11</v>
      </c>
      <c r="I2" s="5" t="str">
        <f>_xlfn.XLOOKUP(C2, CustomersTable[customer_id], CustomersTable[customer_segment])</f>
        <v>VIP</v>
      </c>
      <c r="J2" t="str">
        <f>_xlfn.XLOOKUP(D2,ChannelsTable[channel_id],ChannelsTable[channel_name])</f>
        <v>ONLINE</v>
      </c>
      <c r="K2">
        <f>_xlfn.XLOOKUP(C2, CustomersTable[customer_id], CustomersTable[account_age_days])</f>
        <v>1200</v>
      </c>
      <c r="L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" s="5" t="str" cm="1">
        <f t="array" ref="M2">_xlfn.IFS(AND(L2="HIGH_RISK", OR(I2="VIP", I2="Corporate")), "URGENT",AND(L2="HIGH_RISK", I2="Retail"), "HIGH",F2="DECLINED", "MEDIUM",TRUE, "LOW")</f>
        <v>LOW</v>
      </c>
      <c r="N2" s="5">
        <f>_xlfn.XLOOKUP(TransactionsTable[[#This Row],[customer_id]],Table4[customer_id],Table4[risk_score])</f>
        <v>1</v>
      </c>
    </row>
    <row r="3" spans="1:14">
      <c r="A3" t="s">
        <v>67</v>
      </c>
      <c r="B3" s="4">
        <v>46082.395833333336</v>
      </c>
      <c r="C3" t="s">
        <v>27</v>
      </c>
      <c r="D3" t="s">
        <v>52</v>
      </c>
      <c r="E3">
        <v>2500</v>
      </c>
      <c r="F3" t="s">
        <v>68</v>
      </c>
      <c r="G3">
        <v>0</v>
      </c>
      <c r="H3" t="s">
        <v>9</v>
      </c>
      <c r="I3" t="str">
        <f>_xlfn.XLOOKUP(C3, CustomersTable[customer_id], CustomersTable[customer_segment])</f>
        <v>Retail</v>
      </c>
      <c r="J3" t="str">
        <f>_xlfn.XLOOKUP(D3,ChannelsTable[channel_id],ChannelsTable[channel_name])</f>
        <v>ONLINE</v>
      </c>
      <c r="K3">
        <f>_xlfn.XLOOKUP(C3, CustomersTable[customer_id], CustomersTable[account_age_days])</f>
        <v>15</v>
      </c>
      <c r="L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3" s="5" t="str" cm="1">
        <f t="array" ref="M3">_xlfn.IFS(AND(L3="HIGH_RISK", OR(I3="VIP", I3="Corporate")), "URGENT",AND(L3="HIGH_RISK", I3="Retail"), "HIGH",F3="DECLINED", "MEDIUM",TRUE, "LOW")</f>
        <v>MEDIUM</v>
      </c>
      <c r="N3" s="5">
        <f>_xlfn.XLOOKUP(TransactionsTable[[#This Row],[customer_id]],Table4[customer_id],Table4[risk_score])</f>
        <v>3</v>
      </c>
    </row>
    <row r="4" spans="1:14">
      <c r="A4" t="s">
        <v>69</v>
      </c>
      <c r="B4" s="4">
        <v>46082.093055555553</v>
      </c>
      <c r="C4" t="s">
        <v>32</v>
      </c>
      <c r="D4" t="s">
        <v>52</v>
      </c>
      <c r="E4">
        <v>4800</v>
      </c>
      <c r="F4" t="s">
        <v>68</v>
      </c>
      <c r="G4">
        <v>1</v>
      </c>
      <c r="H4" t="s">
        <v>8</v>
      </c>
      <c r="I4" t="str">
        <f>_xlfn.XLOOKUP(C4, CustomersTable[customer_id], CustomersTable[customer_segment])</f>
        <v>Retail</v>
      </c>
      <c r="J4" t="str">
        <f>_xlfn.XLOOKUP(D4,ChannelsTable[channel_id],ChannelsTable[channel_name])</f>
        <v>ONLINE</v>
      </c>
      <c r="K4">
        <f>_xlfn.XLOOKUP(C4, CustomersTable[customer_id], CustomersTable[account_age_days])</f>
        <v>8</v>
      </c>
      <c r="L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4" s="5" t="str" cm="1">
        <f t="array" ref="M4">_xlfn.IFS(AND(L4="HIGH_RISK", OR(I4="VIP", I4="Corporate")), "URGENT",AND(L4="HIGH_RISK", I4="Retail"), "HIGH",F4="DECLINED", "MEDIUM",TRUE, "LOW")</f>
        <v>HIGH</v>
      </c>
      <c r="N4" s="5">
        <f>_xlfn.XLOOKUP(TransactionsTable[[#This Row],[customer_id]],Table4[customer_id],Table4[risk_score])</f>
        <v>2</v>
      </c>
    </row>
    <row r="5" spans="1:14">
      <c r="A5" t="s">
        <v>70</v>
      </c>
      <c r="B5" s="4">
        <v>46082.489583333336</v>
      </c>
      <c r="C5" t="s">
        <v>25</v>
      </c>
      <c r="D5" t="s">
        <v>48</v>
      </c>
      <c r="E5">
        <v>200</v>
      </c>
      <c r="F5" t="s">
        <v>66</v>
      </c>
      <c r="G5">
        <v>0</v>
      </c>
      <c r="H5" t="s">
        <v>11</v>
      </c>
      <c r="I5" t="str">
        <f>_xlfn.XLOOKUP(C5, CustomersTable[customer_id], CustomersTable[customer_segment])</f>
        <v>Retail</v>
      </c>
      <c r="J5" t="str">
        <f>_xlfn.XLOOKUP(D5,ChannelsTable[channel_id],ChannelsTable[channel_name])</f>
        <v>ATM</v>
      </c>
      <c r="K5">
        <f>_xlfn.XLOOKUP(C5, CustomersTable[customer_id], CustomersTable[account_age_days])</f>
        <v>450</v>
      </c>
      <c r="L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" s="5" t="str" cm="1">
        <f t="array" ref="M5">_xlfn.IFS(AND(L5="HIGH_RISK", OR(I5="VIP", I5="Corporate")), "URGENT",AND(L5="HIGH_RISK", I5="Retail"), "HIGH",F5="DECLINED", "MEDIUM",TRUE, "LOW")</f>
        <v>LOW</v>
      </c>
      <c r="N5" s="5">
        <f>_xlfn.XLOOKUP(TransactionsTable[[#This Row],[customer_id]],Table4[customer_id],Table4[risk_score])</f>
        <v>0</v>
      </c>
    </row>
    <row r="6" spans="1:14">
      <c r="A6" t="s">
        <v>71</v>
      </c>
      <c r="B6" s="4">
        <v>46082.597222222219</v>
      </c>
      <c r="C6" t="s">
        <v>29</v>
      </c>
      <c r="D6" t="s">
        <v>52</v>
      </c>
      <c r="E6">
        <v>1200</v>
      </c>
      <c r="F6" t="s">
        <v>66</v>
      </c>
      <c r="G6">
        <v>0</v>
      </c>
      <c r="H6" t="s">
        <v>12</v>
      </c>
      <c r="I6" t="str">
        <f>_xlfn.XLOOKUP(C6, CustomersTable[customer_id], CustomersTable[customer_segment])</f>
        <v>Retail</v>
      </c>
      <c r="J6" t="str">
        <f>_xlfn.XLOOKUP(D6,ChannelsTable[channel_id],ChannelsTable[channel_name])</f>
        <v>ONLINE</v>
      </c>
      <c r="K6">
        <f>_xlfn.XLOOKUP(C6, CustomersTable[customer_id], CustomersTable[account_age_days])</f>
        <v>320</v>
      </c>
      <c r="L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" s="5" t="str" cm="1">
        <f t="array" ref="M6">_xlfn.IFS(AND(L6="HIGH_RISK", OR(I6="VIP", I6="Corporate")), "URGENT",AND(L6="HIGH_RISK", I6="Retail"), "HIGH",F6="DECLINED", "MEDIUM",TRUE, "LOW")</f>
        <v>LOW</v>
      </c>
      <c r="N6" s="5">
        <f>_xlfn.XLOOKUP(TransactionsTable[[#This Row],[customer_id]],Table4[customer_id],Table4[risk_score])</f>
        <v>2</v>
      </c>
    </row>
    <row r="7" spans="1:14">
      <c r="A7" t="s">
        <v>72</v>
      </c>
      <c r="B7" s="4">
        <v>46082.993055555555</v>
      </c>
      <c r="C7" t="s">
        <v>27</v>
      </c>
      <c r="D7" t="s">
        <v>52</v>
      </c>
      <c r="E7">
        <v>3100</v>
      </c>
      <c r="F7" t="s">
        <v>68</v>
      </c>
      <c r="G7">
        <v>1</v>
      </c>
      <c r="H7" t="s">
        <v>10</v>
      </c>
      <c r="I7" t="str">
        <f>_xlfn.XLOOKUP(C7, CustomersTable[customer_id], CustomersTable[customer_segment])</f>
        <v>Retail</v>
      </c>
      <c r="J7" t="str">
        <f>_xlfn.XLOOKUP(D7,ChannelsTable[channel_id],ChannelsTable[channel_name])</f>
        <v>ONLINE</v>
      </c>
      <c r="K7">
        <f>_xlfn.XLOOKUP(C7, CustomersTable[customer_id], CustomersTable[account_age_days])</f>
        <v>15</v>
      </c>
      <c r="L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7" s="5" t="str" cm="1">
        <f t="array" ref="M7">_xlfn.IFS(AND(L7="HIGH_RISK", OR(I7="VIP", I7="Corporate")), "URGENT",AND(L7="HIGH_RISK", I7="Retail"), "HIGH",F7="DECLINED", "MEDIUM",TRUE, "LOW")</f>
        <v>HIGH</v>
      </c>
      <c r="N7" s="5">
        <f>_xlfn.XLOOKUP(TransactionsTable[[#This Row],[customer_id]],Table4[customer_id],Table4[risk_score])</f>
        <v>3</v>
      </c>
    </row>
    <row r="8" spans="1:14">
      <c r="A8" t="s">
        <v>73</v>
      </c>
      <c r="B8" s="4">
        <v>46083.048611111109</v>
      </c>
      <c r="C8" t="s">
        <v>34</v>
      </c>
      <c r="D8" t="s">
        <v>54</v>
      </c>
      <c r="E8">
        <v>850</v>
      </c>
      <c r="F8" t="s">
        <v>66</v>
      </c>
      <c r="G8">
        <v>1</v>
      </c>
      <c r="H8" t="s">
        <v>11</v>
      </c>
      <c r="I8" t="str">
        <f>_xlfn.XLOOKUP(C8, CustomersTable[customer_id], CustomersTable[customer_segment])</f>
        <v>Retail</v>
      </c>
      <c r="J8" t="str">
        <f>_xlfn.XLOOKUP(D8,ChannelsTable[channel_id],ChannelsTable[channel_name])</f>
        <v>MOBILE</v>
      </c>
      <c r="K8">
        <f>_xlfn.XLOOKUP(C8, CustomersTable[customer_id], CustomersTable[account_age_days])</f>
        <v>60</v>
      </c>
      <c r="L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" s="5" t="str" cm="1">
        <f t="array" ref="M8">_xlfn.IFS(AND(L8="HIGH_RISK", OR(I8="VIP", I8="Corporate")), "URGENT",AND(L8="HIGH_RISK", I8="Retail"), "HIGH",F8="DECLINED", "MEDIUM",TRUE, "LOW")</f>
        <v>LOW</v>
      </c>
      <c r="N8" s="5">
        <f>_xlfn.XLOOKUP(TransactionsTable[[#This Row],[customer_id]],Table4[customer_id],Table4[risk_score])</f>
        <v>3</v>
      </c>
    </row>
    <row r="9" spans="1:14">
      <c r="A9" t="s">
        <v>74</v>
      </c>
      <c r="B9" s="4">
        <v>46083.142361111109</v>
      </c>
      <c r="C9" t="s">
        <v>32</v>
      </c>
      <c r="D9" t="s">
        <v>52</v>
      </c>
      <c r="E9">
        <v>6200</v>
      </c>
      <c r="F9" t="s">
        <v>68</v>
      </c>
      <c r="G9">
        <v>1</v>
      </c>
      <c r="H9" t="s">
        <v>8</v>
      </c>
      <c r="I9" t="str">
        <f>_xlfn.XLOOKUP(C9, CustomersTable[customer_id], CustomersTable[customer_segment])</f>
        <v>Retail</v>
      </c>
      <c r="J9" t="str">
        <f>_xlfn.XLOOKUP(D9,ChannelsTable[channel_id],ChannelsTable[channel_name])</f>
        <v>ONLINE</v>
      </c>
      <c r="K9">
        <f>_xlfn.XLOOKUP(C9, CustomersTable[customer_id], CustomersTable[account_age_days])</f>
        <v>8</v>
      </c>
      <c r="L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9" s="5" t="str" cm="1">
        <f t="array" ref="M9">_xlfn.IFS(AND(L9="HIGH_RISK", OR(I9="VIP", I9="Corporate")), "URGENT",AND(L9="HIGH_RISK", I9="Retail"), "HIGH",F9="DECLINED", "MEDIUM",TRUE, "LOW")</f>
        <v>HIGH</v>
      </c>
      <c r="N9" s="5">
        <f>_xlfn.XLOOKUP(TransactionsTable[[#This Row],[customer_id]],Table4[customer_id],Table4[risk_score])</f>
        <v>2</v>
      </c>
    </row>
    <row r="10" spans="1:14">
      <c r="A10" t="s">
        <v>75</v>
      </c>
      <c r="B10" s="4">
        <v>46083.420138888891</v>
      </c>
      <c r="C10" t="s">
        <v>26</v>
      </c>
      <c r="D10" t="s">
        <v>50</v>
      </c>
      <c r="E10">
        <v>15000</v>
      </c>
      <c r="F10" t="s">
        <v>66</v>
      </c>
      <c r="G10">
        <v>0</v>
      </c>
      <c r="H10" t="s">
        <v>11</v>
      </c>
      <c r="I10" t="str">
        <f>_xlfn.XLOOKUP(C10, CustomersTable[customer_id], CustomersTable[customer_segment])</f>
        <v>Corporate</v>
      </c>
      <c r="J10" t="str">
        <f>_xlfn.XLOOKUP(D10,ChannelsTable[channel_id],ChannelsTable[channel_name])</f>
        <v>POS</v>
      </c>
      <c r="K10">
        <f>_xlfn.XLOOKUP(C10, CustomersTable[customer_id], CustomersTable[account_age_days])</f>
        <v>890</v>
      </c>
      <c r="L1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" s="5" t="str" cm="1">
        <f t="array" ref="M10">_xlfn.IFS(AND(L10="HIGH_RISK", OR(I10="VIP", I10="Corporate")), "URGENT",AND(L10="HIGH_RISK", I10="Retail"), "HIGH",F10="DECLINED", "MEDIUM",TRUE, "LOW")</f>
        <v>LOW</v>
      </c>
      <c r="N10" s="5">
        <f>_xlfn.XLOOKUP(TransactionsTable[[#This Row],[customer_id]],Table4[customer_id],Table4[risk_score])</f>
        <v>0</v>
      </c>
    </row>
    <row r="11" spans="1:14">
      <c r="A11" t="s">
        <v>76</v>
      </c>
      <c r="B11" s="4">
        <v>46083.552083333336</v>
      </c>
      <c r="C11" t="s">
        <v>31</v>
      </c>
      <c r="D11" t="s">
        <v>52</v>
      </c>
      <c r="E11">
        <v>4500</v>
      </c>
      <c r="F11" t="s">
        <v>66</v>
      </c>
      <c r="G11">
        <v>0</v>
      </c>
      <c r="H11" t="s">
        <v>12</v>
      </c>
      <c r="I11" t="str">
        <f>_xlfn.XLOOKUP(C11, CustomersTable[customer_id], CustomersTable[customer_segment])</f>
        <v>VIP</v>
      </c>
      <c r="J11" t="str">
        <f>_xlfn.XLOOKUP(D11,ChannelsTable[channel_id],ChannelsTable[channel_name])</f>
        <v>ONLINE</v>
      </c>
      <c r="K11">
        <f>_xlfn.XLOOKUP(C11, CustomersTable[customer_id], CustomersTable[account_age_days])</f>
        <v>2100</v>
      </c>
      <c r="L1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" s="5" t="str" cm="1">
        <f t="array" ref="M11">_xlfn.IFS(AND(L11="HIGH_RISK", OR(I11="VIP", I11="Corporate")), "URGENT",AND(L11="HIGH_RISK", I11="Retail"), "HIGH",F11="DECLINED", "MEDIUM",TRUE, "LOW")</f>
        <v>LOW</v>
      </c>
      <c r="N11" s="5">
        <f>_xlfn.XLOOKUP(TransactionsTable[[#This Row],[customer_id]],Table4[customer_id],Table4[risk_score])</f>
        <v>1</v>
      </c>
    </row>
    <row r="12" spans="1:14">
      <c r="A12" t="s">
        <v>77</v>
      </c>
      <c r="B12" s="4">
        <v>46083.694444444445</v>
      </c>
      <c r="C12" t="s">
        <v>29</v>
      </c>
      <c r="D12" t="s">
        <v>50</v>
      </c>
      <c r="E12">
        <v>90</v>
      </c>
      <c r="F12" t="s">
        <v>66</v>
      </c>
      <c r="G12">
        <v>0</v>
      </c>
      <c r="H12" t="s">
        <v>11</v>
      </c>
      <c r="I12" t="str">
        <f>_xlfn.XLOOKUP(C12, CustomersTable[customer_id], CustomersTable[customer_segment])</f>
        <v>Retail</v>
      </c>
      <c r="J12" t="str">
        <f>_xlfn.XLOOKUP(D12,ChannelsTable[channel_id],ChannelsTable[channel_name])</f>
        <v>POS</v>
      </c>
      <c r="K12">
        <f>_xlfn.XLOOKUP(C12, CustomersTable[customer_id], CustomersTable[account_age_days])</f>
        <v>320</v>
      </c>
      <c r="L1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" s="5" t="str" cm="1">
        <f t="array" ref="M12">_xlfn.IFS(AND(L12="HIGH_RISK", OR(I12="VIP", I12="Corporate")), "URGENT",AND(L12="HIGH_RISK", I12="Retail"), "HIGH",F12="DECLINED", "MEDIUM",TRUE, "LOW")</f>
        <v>LOW</v>
      </c>
      <c r="N12" s="5">
        <f>_xlfn.XLOOKUP(TransactionsTable[[#This Row],[customer_id]],Table4[customer_id],Table4[risk_score])</f>
        <v>2</v>
      </c>
    </row>
    <row r="13" spans="1:14">
      <c r="A13" t="s">
        <v>78</v>
      </c>
      <c r="B13" s="4">
        <v>46083.923611111109</v>
      </c>
      <c r="C13" t="s">
        <v>33</v>
      </c>
      <c r="D13" t="s">
        <v>52</v>
      </c>
      <c r="E13">
        <v>12000</v>
      </c>
      <c r="F13" t="s">
        <v>66</v>
      </c>
      <c r="G13">
        <v>0</v>
      </c>
      <c r="H13" t="s">
        <v>7</v>
      </c>
      <c r="I13" t="str">
        <f>_xlfn.XLOOKUP(C13, CustomersTable[customer_id], CustomersTable[customer_segment])</f>
        <v>Corporate</v>
      </c>
      <c r="J13" t="str">
        <f>_xlfn.XLOOKUP(D13,ChannelsTable[channel_id],ChannelsTable[channel_name])</f>
        <v>ONLINE</v>
      </c>
      <c r="K13">
        <f>_xlfn.XLOOKUP(C13, CustomersTable[customer_id], CustomersTable[account_age_days])</f>
        <v>1400</v>
      </c>
      <c r="L1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" s="5" t="str" cm="1">
        <f t="array" ref="M13">_xlfn.IFS(AND(L13="HIGH_RISK", OR(I13="VIP", I13="Corporate")), "URGENT",AND(L13="HIGH_RISK", I13="Retail"), "HIGH",F13="DECLINED", "MEDIUM",TRUE, "LOW")</f>
        <v>LOW</v>
      </c>
      <c r="N13" s="5">
        <f>_xlfn.XLOOKUP(TransactionsTable[[#This Row],[customer_id]],Table4[customer_id],Table4[risk_score])</f>
        <v>0</v>
      </c>
    </row>
    <row r="14" spans="1:14">
      <c r="A14" t="s">
        <v>79</v>
      </c>
      <c r="B14" s="4">
        <v>46084.170138888891</v>
      </c>
      <c r="C14" t="s">
        <v>27</v>
      </c>
      <c r="D14" t="s">
        <v>52</v>
      </c>
      <c r="E14">
        <v>1900</v>
      </c>
      <c r="F14" t="s">
        <v>68</v>
      </c>
      <c r="G14">
        <v>1</v>
      </c>
      <c r="H14" t="s">
        <v>10</v>
      </c>
      <c r="I14" t="str">
        <f>_xlfn.XLOOKUP(C14, CustomersTable[customer_id], CustomersTable[customer_segment])</f>
        <v>Retail</v>
      </c>
      <c r="J14" t="str">
        <f>_xlfn.XLOOKUP(D14,ChannelsTable[channel_id],ChannelsTable[channel_name])</f>
        <v>ONLINE</v>
      </c>
      <c r="K14">
        <f>_xlfn.XLOOKUP(C14, CustomersTable[customer_id], CustomersTable[account_age_days])</f>
        <v>15</v>
      </c>
      <c r="L1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4" s="5" t="str" cm="1">
        <f t="array" ref="M14">_xlfn.IFS(AND(L14="HIGH_RISK", OR(I14="VIP", I14="Corporate")), "URGENT",AND(L14="HIGH_RISK", I14="Retail"), "HIGH",F14="DECLINED", "MEDIUM",TRUE, "LOW")</f>
        <v>HIGH</v>
      </c>
      <c r="N14" s="5">
        <f>_xlfn.XLOOKUP(TransactionsTable[[#This Row],[customer_id]],Table4[customer_id],Table4[risk_score])</f>
        <v>3</v>
      </c>
    </row>
    <row r="15" spans="1:14">
      <c r="A15" t="s">
        <v>80</v>
      </c>
      <c r="B15" s="4">
        <v>46084.368055555555</v>
      </c>
      <c r="C15" t="s">
        <v>22</v>
      </c>
      <c r="D15" t="s">
        <v>54</v>
      </c>
      <c r="E15">
        <v>320</v>
      </c>
      <c r="F15" t="s">
        <v>66</v>
      </c>
      <c r="G15">
        <v>0</v>
      </c>
      <c r="H15" t="s">
        <v>11</v>
      </c>
      <c r="I15" t="str">
        <f>_xlfn.XLOOKUP(C15, CustomersTable[customer_id], CustomersTable[customer_segment])</f>
        <v>VIP</v>
      </c>
      <c r="J15" t="str">
        <f>_xlfn.XLOOKUP(D15,ChannelsTable[channel_id],ChannelsTable[channel_name])</f>
        <v>MOBILE</v>
      </c>
      <c r="K15">
        <f>_xlfn.XLOOKUP(C15, CustomersTable[customer_id], CustomersTable[account_age_days])</f>
        <v>1200</v>
      </c>
      <c r="L1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" s="5" t="str" cm="1">
        <f t="array" ref="M15">_xlfn.IFS(AND(L15="HIGH_RISK", OR(I15="VIP", I15="Corporate")), "URGENT",AND(L15="HIGH_RISK", I15="Retail"), "HIGH",F15="DECLINED", "MEDIUM",TRUE, "LOW")</f>
        <v>LOW</v>
      </c>
      <c r="N15" s="5">
        <f>_xlfn.XLOOKUP(TransactionsTable[[#This Row],[customer_id]],Table4[customer_id],Table4[risk_score])</f>
        <v>1</v>
      </c>
    </row>
    <row r="16" spans="1:14">
      <c r="A16" t="s">
        <v>81</v>
      </c>
      <c r="B16" s="4">
        <v>46084.520833333336</v>
      </c>
      <c r="C16" t="s">
        <v>35</v>
      </c>
      <c r="D16" t="s">
        <v>50</v>
      </c>
      <c r="E16">
        <v>2100</v>
      </c>
      <c r="F16" t="s">
        <v>66</v>
      </c>
      <c r="G16">
        <v>0</v>
      </c>
      <c r="H16" t="s">
        <v>9</v>
      </c>
      <c r="I16" t="str">
        <f>_xlfn.XLOOKUP(C16, CustomersTable[customer_id], CustomersTable[customer_segment])</f>
        <v>VIP</v>
      </c>
      <c r="J16" t="str">
        <f>_xlfn.XLOOKUP(D16,ChannelsTable[channel_id],ChannelsTable[channel_name])</f>
        <v>POS</v>
      </c>
      <c r="K16">
        <f>_xlfn.XLOOKUP(C16, CustomersTable[customer_id], CustomersTable[account_age_days])</f>
        <v>950</v>
      </c>
      <c r="L1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" s="5" t="str" cm="1">
        <f t="array" ref="M16">_xlfn.IFS(AND(L16="HIGH_RISK", OR(I16="VIP", I16="Corporate")), "URGENT",AND(L16="HIGH_RISK", I16="Retail"), "HIGH",F16="DECLINED", "MEDIUM",TRUE, "LOW")</f>
        <v>LOW</v>
      </c>
      <c r="N16" s="5">
        <f>_xlfn.XLOOKUP(TransactionsTable[[#This Row],[customer_id]],Table4[customer_id],Table4[risk_score])</f>
        <v>1</v>
      </c>
    </row>
    <row r="17" spans="1:14">
      <c r="A17" t="s">
        <v>82</v>
      </c>
      <c r="B17" s="4">
        <v>46084.631944444445</v>
      </c>
      <c r="C17" t="s">
        <v>25</v>
      </c>
      <c r="D17" t="s">
        <v>52</v>
      </c>
      <c r="E17">
        <v>450</v>
      </c>
      <c r="F17" t="s">
        <v>66</v>
      </c>
      <c r="G17">
        <v>0</v>
      </c>
      <c r="H17" t="s">
        <v>11</v>
      </c>
      <c r="I17" t="str">
        <f>_xlfn.XLOOKUP(C17, CustomersTable[customer_id], CustomersTable[customer_segment])</f>
        <v>Retail</v>
      </c>
      <c r="J17" t="str">
        <f>_xlfn.XLOOKUP(D17,ChannelsTable[channel_id],ChannelsTable[channel_name])</f>
        <v>ONLINE</v>
      </c>
      <c r="K17">
        <f>_xlfn.XLOOKUP(C17, CustomersTable[customer_id], CustomersTable[account_age_days])</f>
        <v>450</v>
      </c>
      <c r="L1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7" s="5" t="str" cm="1">
        <f t="array" ref="M17">_xlfn.IFS(AND(L17="HIGH_RISK", OR(I17="VIP", I17="Corporate")), "URGENT",AND(L17="HIGH_RISK", I17="Retail"), "HIGH",F17="DECLINED", "MEDIUM",TRUE, "LOW")</f>
        <v>LOW</v>
      </c>
      <c r="N17" s="5">
        <f>_xlfn.XLOOKUP(TransactionsTable[[#This Row],[customer_id]],Table4[customer_id],Table4[risk_score])</f>
        <v>0</v>
      </c>
    </row>
    <row r="18" spans="1:14">
      <c r="A18" t="s">
        <v>83</v>
      </c>
      <c r="B18" s="4">
        <v>46084.822916666664</v>
      </c>
      <c r="C18" t="s">
        <v>34</v>
      </c>
      <c r="D18" t="s">
        <v>52</v>
      </c>
      <c r="E18">
        <v>1100</v>
      </c>
      <c r="F18" t="s">
        <v>68</v>
      </c>
      <c r="G18">
        <v>0</v>
      </c>
      <c r="H18" t="s">
        <v>8</v>
      </c>
      <c r="I18" t="str">
        <f>_xlfn.XLOOKUP(C18, CustomersTable[customer_id], CustomersTable[customer_segment])</f>
        <v>Retail</v>
      </c>
      <c r="J18" t="str">
        <f>_xlfn.XLOOKUP(D18,ChannelsTable[channel_id],ChannelsTable[channel_name])</f>
        <v>ONLINE</v>
      </c>
      <c r="K18">
        <f>_xlfn.XLOOKUP(C18, CustomersTable[customer_id], CustomersTable[account_age_days])</f>
        <v>60</v>
      </c>
      <c r="L1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8" s="5" t="str" cm="1">
        <f t="array" ref="M18">_xlfn.IFS(AND(L18="HIGH_RISK", OR(I18="VIP", I18="Corporate")), "URGENT",AND(L18="HIGH_RISK", I18="Retail"), "HIGH",F18="DECLINED", "MEDIUM",TRUE, "LOW")</f>
        <v>HIGH</v>
      </c>
      <c r="N18" s="5">
        <f>_xlfn.XLOOKUP(TransactionsTable[[#This Row],[customer_id]],Table4[customer_id],Table4[risk_score])</f>
        <v>3</v>
      </c>
    </row>
    <row r="19" spans="1:14">
      <c r="A19" t="s">
        <v>84</v>
      </c>
      <c r="B19" s="4">
        <v>46084.96875</v>
      </c>
      <c r="C19" t="s">
        <v>32</v>
      </c>
      <c r="D19" t="s">
        <v>48</v>
      </c>
      <c r="E19">
        <v>1000</v>
      </c>
      <c r="F19" t="s">
        <v>66</v>
      </c>
      <c r="G19">
        <v>1</v>
      </c>
      <c r="H19" t="s">
        <v>11</v>
      </c>
      <c r="I19" t="str">
        <f>_xlfn.XLOOKUP(C19, CustomersTable[customer_id], CustomersTable[customer_segment])</f>
        <v>Retail</v>
      </c>
      <c r="J19" t="str">
        <f>_xlfn.XLOOKUP(D19,ChannelsTable[channel_id],ChannelsTable[channel_name])</f>
        <v>ATM</v>
      </c>
      <c r="K19">
        <f>_xlfn.XLOOKUP(C19, CustomersTable[customer_id], CustomersTable[account_age_days])</f>
        <v>8</v>
      </c>
      <c r="L1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" s="5" t="str" cm="1">
        <f t="array" ref="M19">_xlfn.IFS(AND(L19="HIGH_RISK", OR(I19="VIP", I19="Corporate")), "URGENT",AND(L19="HIGH_RISK", I19="Retail"), "HIGH",F19="DECLINED", "MEDIUM",TRUE, "LOW")</f>
        <v>LOW</v>
      </c>
      <c r="N19" s="5">
        <f>_xlfn.XLOOKUP(TransactionsTable[[#This Row],[customer_id]],Table4[customer_id],Table4[risk_score])</f>
        <v>2</v>
      </c>
    </row>
    <row r="20" spans="1:14">
      <c r="A20" t="s">
        <v>85</v>
      </c>
      <c r="B20" s="4">
        <v>46085.069444444445</v>
      </c>
      <c r="C20" t="s">
        <v>29</v>
      </c>
      <c r="D20" t="s">
        <v>52</v>
      </c>
      <c r="E20">
        <v>3500</v>
      </c>
      <c r="F20" t="s">
        <v>68</v>
      </c>
      <c r="G20">
        <v>1</v>
      </c>
      <c r="H20" t="s">
        <v>10</v>
      </c>
      <c r="I20" t="str">
        <f>_xlfn.XLOOKUP(C20, CustomersTable[customer_id], CustomersTable[customer_segment])</f>
        <v>Retail</v>
      </c>
      <c r="J20" t="str">
        <f>_xlfn.XLOOKUP(D20,ChannelsTable[channel_id],ChannelsTable[channel_name])</f>
        <v>ONLINE</v>
      </c>
      <c r="K20">
        <f>_xlfn.XLOOKUP(C20, CustomersTable[customer_id], CustomersTable[account_age_days])</f>
        <v>320</v>
      </c>
      <c r="L2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20" s="5" t="str" cm="1">
        <f t="array" ref="M20">_xlfn.IFS(AND(L20="HIGH_RISK", OR(I20="VIP", I20="Corporate")), "URGENT",AND(L20="HIGH_RISK", I20="Retail"), "HIGH",F20="DECLINED", "MEDIUM",TRUE, "LOW")</f>
        <v>HIGH</v>
      </c>
      <c r="N20" s="5">
        <f>_xlfn.XLOOKUP(TransactionsTable[[#This Row],[customer_id]],Table4[customer_id],Table4[risk_score])</f>
        <v>2</v>
      </c>
    </row>
    <row r="21" spans="1:14">
      <c r="A21" t="s">
        <v>86</v>
      </c>
      <c r="B21" s="4">
        <v>46085.305555555555</v>
      </c>
      <c r="C21" t="s">
        <v>26</v>
      </c>
      <c r="D21" t="s">
        <v>50</v>
      </c>
      <c r="E21">
        <v>8400</v>
      </c>
      <c r="F21" t="s">
        <v>66</v>
      </c>
      <c r="G21">
        <v>0</v>
      </c>
      <c r="H21" t="s">
        <v>11</v>
      </c>
      <c r="I21" t="str">
        <f>_xlfn.XLOOKUP(C21, CustomersTable[customer_id], CustomersTable[customer_segment])</f>
        <v>Corporate</v>
      </c>
      <c r="J21" t="str">
        <f>_xlfn.XLOOKUP(D21,ChannelsTable[channel_id],ChannelsTable[channel_name])</f>
        <v>POS</v>
      </c>
      <c r="K21">
        <f>_xlfn.XLOOKUP(C21, CustomersTable[customer_id], CustomersTable[account_age_days])</f>
        <v>890</v>
      </c>
      <c r="L2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1" s="5" t="str" cm="1">
        <f t="array" ref="M21">_xlfn.IFS(AND(L21="HIGH_RISK", OR(I21="VIP", I21="Corporate")), "URGENT",AND(L21="HIGH_RISK", I21="Retail"), "HIGH",F21="DECLINED", "MEDIUM",TRUE, "LOW")</f>
        <v>LOW</v>
      </c>
      <c r="N21" s="5">
        <f>_xlfn.XLOOKUP(TransactionsTable[[#This Row],[customer_id]],Table4[customer_id],Table4[risk_score])</f>
        <v>0</v>
      </c>
    </row>
    <row r="22" spans="1:14">
      <c r="A22" t="s">
        <v>87</v>
      </c>
      <c r="B22" s="4">
        <v>46085.416666666664</v>
      </c>
      <c r="C22" t="s">
        <v>31</v>
      </c>
      <c r="D22" t="s">
        <v>54</v>
      </c>
      <c r="E22">
        <v>120</v>
      </c>
      <c r="F22" t="s">
        <v>66</v>
      </c>
      <c r="G22">
        <v>0</v>
      </c>
      <c r="H22" t="s">
        <v>11</v>
      </c>
      <c r="I22" t="str">
        <f>_xlfn.XLOOKUP(C22, CustomersTable[customer_id], CustomersTable[customer_segment])</f>
        <v>VIP</v>
      </c>
      <c r="J22" t="str">
        <f>_xlfn.XLOOKUP(D22,ChannelsTable[channel_id],ChannelsTable[channel_name])</f>
        <v>MOBILE</v>
      </c>
      <c r="K22">
        <f>_xlfn.XLOOKUP(C22, CustomersTable[customer_id], CustomersTable[account_age_days])</f>
        <v>2100</v>
      </c>
      <c r="L2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2" s="5" t="str" cm="1">
        <f t="array" ref="M22">_xlfn.IFS(AND(L22="HIGH_RISK", OR(I22="VIP", I22="Corporate")), "URGENT",AND(L22="HIGH_RISK", I22="Retail"), "HIGH",F22="DECLINED", "MEDIUM",TRUE, "LOW")</f>
        <v>LOW</v>
      </c>
      <c r="N22" s="5">
        <f>_xlfn.XLOOKUP(TransactionsTable[[#This Row],[customer_id]],Table4[customer_id],Table4[risk_score])</f>
        <v>1</v>
      </c>
    </row>
    <row r="23" spans="1:14">
      <c r="A23" t="s">
        <v>88</v>
      </c>
      <c r="B23" s="4">
        <v>46085.59375</v>
      </c>
      <c r="C23" t="s">
        <v>33</v>
      </c>
      <c r="D23" t="s">
        <v>52</v>
      </c>
      <c r="E23">
        <v>15500</v>
      </c>
      <c r="F23" t="s">
        <v>68</v>
      </c>
      <c r="G23">
        <v>0</v>
      </c>
      <c r="H23" t="s">
        <v>7</v>
      </c>
      <c r="I23" t="str">
        <f>_xlfn.XLOOKUP(C23, CustomersTable[customer_id], CustomersTable[customer_segment])</f>
        <v>Corporate</v>
      </c>
      <c r="J23" t="str">
        <f>_xlfn.XLOOKUP(D23,ChannelsTable[channel_id],ChannelsTable[channel_name])</f>
        <v>ONLINE</v>
      </c>
      <c r="K23">
        <f>_xlfn.XLOOKUP(C23, CustomersTable[customer_id], CustomersTable[account_age_days])</f>
        <v>1400</v>
      </c>
      <c r="L2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3" s="5" t="str" cm="1">
        <f t="array" ref="M23">_xlfn.IFS(AND(L23="HIGH_RISK", OR(I23="VIP", I23="Corporate")), "URGENT",AND(L23="HIGH_RISK", I23="Retail"), "HIGH",F23="DECLINED", "MEDIUM",TRUE, "LOW")</f>
        <v>MEDIUM</v>
      </c>
      <c r="N23" s="5">
        <f>_xlfn.XLOOKUP(TransactionsTable[[#This Row],[customer_id]],Table4[customer_id],Table4[risk_score])</f>
        <v>0</v>
      </c>
    </row>
    <row r="24" spans="1:14">
      <c r="A24" t="s">
        <v>89</v>
      </c>
      <c r="B24" s="4">
        <v>46085.770833333336</v>
      </c>
      <c r="C24" t="s">
        <v>27</v>
      </c>
      <c r="D24" t="s">
        <v>52</v>
      </c>
      <c r="E24">
        <v>4200</v>
      </c>
      <c r="F24" t="s">
        <v>68</v>
      </c>
      <c r="G24">
        <v>0</v>
      </c>
      <c r="H24" t="s">
        <v>8</v>
      </c>
      <c r="I24" t="str">
        <f>_xlfn.XLOOKUP(C24, CustomersTable[customer_id], CustomersTable[customer_segment])</f>
        <v>Retail</v>
      </c>
      <c r="J24" t="str">
        <f>_xlfn.XLOOKUP(D24,ChannelsTable[channel_id],ChannelsTable[channel_name])</f>
        <v>ONLINE</v>
      </c>
      <c r="K24">
        <f>_xlfn.XLOOKUP(C24, CustomersTable[customer_id], CustomersTable[account_age_days])</f>
        <v>15</v>
      </c>
      <c r="L2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24" s="5" t="str" cm="1">
        <f t="array" ref="M24">_xlfn.IFS(AND(L24="HIGH_RISK", OR(I24="VIP", I24="Corporate")), "URGENT",AND(L24="HIGH_RISK", I24="Retail"), "HIGH",F24="DECLINED", "MEDIUM",TRUE, "LOW")</f>
        <v>HIGH</v>
      </c>
      <c r="N24" s="5">
        <f>_xlfn.XLOOKUP(TransactionsTable[[#This Row],[customer_id]],Table4[customer_id],Table4[risk_score])</f>
        <v>3</v>
      </c>
    </row>
    <row r="25" spans="1:14">
      <c r="A25" t="s">
        <v>90</v>
      </c>
      <c r="B25" s="4">
        <v>46085.878472222219</v>
      </c>
      <c r="C25" t="s">
        <v>35</v>
      </c>
      <c r="D25" t="s">
        <v>52</v>
      </c>
      <c r="E25">
        <v>950</v>
      </c>
      <c r="F25" t="s">
        <v>66</v>
      </c>
      <c r="G25">
        <v>0</v>
      </c>
      <c r="H25" t="s">
        <v>12</v>
      </c>
      <c r="I25" t="str">
        <f>_xlfn.XLOOKUP(C25, CustomersTable[customer_id], CustomersTable[customer_segment])</f>
        <v>VIP</v>
      </c>
      <c r="J25" t="str">
        <f>_xlfn.XLOOKUP(D25,ChannelsTable[channel_id],ChannelsTable[channel_name])</f>
        <v>ONLINE</v>
      </c>
      <c r="K25">
        <f>_xlfn.XLOOKUP(C25, CustomersTable[customer_id], CustomersTable[account_age_days])</f>
        <v>950</v>
      </c>
      <c r="L2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5" s="5" t="str" cm="1">
        <f t="array" ref="M25">_xlfn.IFS(AND(L25="HIGH_RISK", OR(I25="VIP", I25="Corporate")), "URGENT",AND(L25="HIGH_RISK", I25="Retail"), "HIGH",F25="DECLINED", "MEDIUM",TRUE, "LOW")</f>
        <v>LOW</v>
      </c>
      <c r="N25" s="5">
        <f>_xlfn.XLOOKUP(TransactionsTable[[#This Row],[customer_id]],Table4[customer_id],Table4[risk_score])</f>
        <v>1</v>
      </c>
    </row>
    <row r="26" spans="1:14">
      <c r="A26" t="s">
        <v>91</v>
      </c>
      <c r="B26" s="4">
        <v>46086.118055555555</v>
      </c>
      <c r="C26" t="s">
        <v>32</v>
      </c>
      <c r="D26" t="s">
        <v>52</v>
      </c>
      <c r="E26">
        <v>5100</v>
      </c>
      <c r="F26" t="s">
        <v>68</v>
      </c>
      <c r="G26">
        <v>1</v>
      </c>
      <c r="H26" t="s">
        <v>8</v>
      </c>
      <c r="I26" t="str">
        <f>_xlfn.XLOOKUP(C26, CustomersTable[customer_id], CustomersTable[customer_segment])</f>
        <v>Retail</v>
      </c>
      <c r="J26" t="str">
        <f>_xlfn.XLOOKUP(D26,ChannelsTable[channel_id],ChannelsTable[channel_name])</f>
        <v>ONLINE</v>
      </c>
      <c r="K26">
        <f>_xlfn.XLOOKUP(C26, CustomersTable[customer_id], CustomersTable[account_age_days])</f>
        <v>8</v>
      </c>
      <c r="L2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26" s="5" t="str" cm="1">
        <f t="array" ref="M26">_xlfn.IFS(AND(L26="HIGH_RISK", OR(I26="VIP", I26="Corporate")), "URGENT",AND(L26="HIGH_RISK", I26="Retail"), "HIGH",F26="DECLINED", "MEDIUM",TRUE, "LOW")</f>
        <v>HIGH</v>
      </c>
      <c r="N26" s="5">
        <f>_xlfn.XLOOKUP(TransactionsTable[[#This Row],[customer_id]],Table4[customer_id],Table4[risk_score])</f>
        <v>2</v>
      </c>
    </row>
    <row r="27" spans="1:14">
      <c r="A27" t="s">
        <v>92</v>
      </c>
      <c r="B27" s="4">
        <v>46086.340277777781</v>
      </c>
      <c r="C27" t="s">
        <v>22</v>
      </c>
      <c r="D27" t="s">
        <v>50</v>
      </c>
      <c r="E27">
        <v>120</v>
      </c>
      <c r="F27" t="s">
        <v>66</v>
      </c>
      <c r="G27">
        <v>0</v>
      </c>
      <c r="H27" t="s">
        <v>11</v>
      </c>
      <c r="I27" s="5" t="str">
        <f>_xlfn.XLOOKUP(C27, CustomersTable[customer_id], CustomersTable[customer_segment])</f>
        <v>VIP</v>
      </c>
      <c r="J27" s="5" t="str">
        <f>_xlfn.XLOOKUP(D27,ChannelsTable[channel_id],ChannelsTable[channel_name])</f>
        <v>POS</v>
      </c>
      <c r="K27" s="5">
        <f>_xlfn.XLOOKUP(C27, CustomersTable[customer_id], CustomersTable[account_age_days])</f>
        <v>1200</v>
      </c>
      <c r="L2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7" s="5" t="str" cm="1">
        <f t="array" ref="M27">_xlfn.IFS(AND(L27="HIGH_RISK", OR(I27="VIP", I27="Corporate")), "URGENT",AND(L27="HIGH_RISK", I27="Retail"), "HIGH",F27="DECLINED", "MEDIUM",TRUE, "LOW")</f>
        <v>LOW</v>
      </c>
      <c r="N27" s="5">
        <f>_xlfn.XLOOKUP(TransactionsTable[[#This Row],[customer_id]],Table4[customer_id],Table4[risk_score])</f>
        <v>1</v>
      </c>
    </row>
    <row r="28" spans="1:14">
      <c r="A28" t="s">
        <v>93</v>
      </c>
      <c r="B28" s="4">
        <v>46086.489583333336</v>
      </c>
      <c r="C28" t="s">
        <v>25</v>
      </c>
      <c r="D28" t="s">
        <v>52</v>
      </c>
      <c r="E28">
        <v>8900</v>
      </c>
      <c r="F28" t="s">
        <v>68</v>
      </c>
      <c r="G28">
        <v>0</v>
      </c>
      <c r="H28" t="s">
        <v>8</v>
      </c>
      <c r="I28" s="5" t="str">
        <f>_xlfn.XLOOKUP(C28, CustomersTable[customer_id], CustomersTable[customer_segment])</f>
        <v>Retail</v>
      </c>
      <c r="J28" s="5" t="str">
        <f>_xlfn.XLOOKUP(D28,ChannelsTable[channel_id],ChannelsTable[channel_name])</f>
        <v>ONLINE</v>
      </c>
      <c r="K28" s="5">
        <f>_xlfn.XLOOKUP(C28, CustomersTable[customer_id], CustomersTable[account_age_days])</f>
        <v>450</v>
      </c>
      <c r="L2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28" s="5" t="str" cm="1">
        <f t="array" ref="M28">_xlfn.IFS(AND(L28="HIGH_RISK", OR(I28="VIP", I28="Corporate")), "URGENT",AND(L28="HIGH_RISK", I28="Retail"), "HIGH",F28="DECLINED", "MEDIUM",TRUE, "LOW")</f>
        <v>HIGH</v>
      </c>
      <c r="N28" s="5">
        <f>_xlfn.XLOOKUP(TransactionsTable[[#This Row],[customer_id]],Table4[customer_id],Table4[risk_score])</f>
        <v>0</v>
      </c>
    </row>
    <row r="29" spans="1:14">
      <c r="A29" t="s">
        <v>94</v>
      </c>
      <c r="B29" s="4">
        <v>46086.597222222219</v>
      </c>
      <c r="C29" t="s">
        <v>29</v>
      </c>
      <c r="D29" t="s">
        <v>48</v>
      </c>
      <c r="E29">
        <v>450</v>
      </c>
      <c r="F29" t="s">
        <v>66</v>
      </c>
      <c r="G29">
        <v>0</v>
      </c>
      <c r="H29" t="s">
        <v>11</v>
      </c>
      <c r="I29" s="5" t="str">
        <f>_xlfn.XLOOKUP(C29, CustomersTable[customer_id], CustomersTable[customer_segment])</f>
        <v>Retail</v>
      </c>
      <c r="J29" s="5" t="str">
        <f>_xlfn.XLOOKUP(D29,ChannelsTable[channel_id],ChannelsTable[channel_name])</f>
        <v>ATM</v>
      </c>
      <c r="K29" s="5">
        <f>_xlfn.XLOOKUP(C29, CustomersTable[customer_id], CustomersTable[account_age_days])</f>
        <v>320</v>
      </c>
      <c r="L2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9" s="5" t="str" cm="1">
        <f t="array" ref="M29">_xlfn.IFS(AND(L29="HIGH_RISK", OR(I29="VIP", I29="Corporate")), "URGENT",AND(L29="HIGH_RISK", I29="Retail"), "HIGH",F29="DECLINED", "MEDIUM",TRUE, "LOW")</f>
        <v>LOW</v>
      </c>
      <c r="N29" s="5">
        <f>_xlfn.XLOOKUP(TransactionsTable[[#This Row],[customer_id]],Table4[customer_id],Table4[risk_score])</f>
        <v>2</v>
      </c>
    </row>
    <row r="30" spans="1:14">
      <c r="A30" t="s">
        <v>95</v>
      </c>
      <c r="B30" s="4">
        <v>46086.802083333336</v>
      </c>
      <c r="C30" t="s">
        <v>33</v>
      </c>
      <c r="D30" t="s">
        <v>52</v>
      </c>
      <c r="E30">
        <v>12500</v>
      </c>
      <c r="F30" t="s">
        <v>68</v>
      </c>
      <c r="G30">
        <v>0</v>
      </c>
      <c r="H30" t="s">
        <v>10</v>
      </c>
      <c r="I30" s="5" t="str">
        <f>_xlfn.XLOOKUP(C30, CustomersTable[customer_id], CustomersTable[customer_segment])</f>
        <v>Corporate</v>
      </c>
      <c r="J30" s="5" t="str">
        <f>_xlfn.XLOOKUP(D30,ChannelsTable[channel_id],ChannelsTable[channel_name])</f>
        <v>ONLINE</v>
      </c>
      <c r="K30" s="5">
        <f>_xlfn.XLOOKUP(C30, CustomersTable[customer_id], CustomersTable[account_age_days])</f>
        <v>1400</v>
      </c>
      <c r="L3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30" s="5" t="str" cm="1">
        <f t="array" ref="M30">_xlfn.IFS(AND(L30="HIGH_RISK", OR(I30="VIP", I30="Corporate")), "URGENT",AND(L30="HIGH_RISK", I30="Retail"), "HIGH",F30="DECLINED", "MEDIUM",TRUE, "LOW")</f>
        <v>URGENT</v>
      </c>
      <c r="N30" s="5">
        <f>_xlfn.XLOOKUP(TransactionsTable[[#This Row],[customer_id]],Table4[customer_id],Table4[risk_score])</f>
        <v>0</v>
      </c>
    </row>
    <row r="31" spans="1:14">
      <c r="A31" t="s">
        <v>96</v>
      </c>
      <c r="B31" s="4">
        <v>46086.993055555555</v>
      </c>
      <c r="C31" t="s">
        <v>27</v>
      </c>
      <c r="D31" t="s">
        <v>52</v>
      </c>
      <c r="E31">
        <v>4200</v>
      </c>
      <c r="F31" t="s">
        <v>66</v>
      </c>
      <c r="G31">
        <v>0</v>
      </c>
      <c r="H31" t="s">
        <v>12</v>
      </c>
      <c r="I31" s="5" t="str">
        <f>_xlfn.XLOOKUP(C31, CustomersTable[customer_id], CustomersTable[customer_segment])</f>
        <v>Retail</v>
      </c>
      <c r="J31" s="5" t="str">
        <f>_xlfn.XLOOKUP(D31,ChannelsTable[channel_id],ChannelsTable[channel_name])</f>
        <v>ONLINE</v>
      </c>
      <c r="K31" s="5">
        <f>_xlfn.XLOOKUP(C31, CustomersTable[customer_id], CustomersTable[account_age_days])</f>
        <v>15</v>
      </c>
      <c r="L3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31" s="5" t="str" cm="1">
        <f t="array" ref="M31">_xlfn.IFS(AND(L31="HIGH_RISK", OR(I31="VIP", I31="Corporate")), "URGENT",AND(L31="HIGH_RISK", I31="Retail"), "HIGH",F31="DECLINED", "MEDIUM",TRUE, "LOW")</f>
        <v>LOW</v>
      </c>
      <c r="N31" s="5">
        <f>_xlfn.XLOOKUP(TransactionsTable[[#This Row],[customer_id]],Table4[customer_id],Table4[risk_score])</f>
        <v>3</v>
      </c>
    </row>
    <row r="32" spans="1:14">
      <c r="A32" t="s">
        <v>97</v>
      </c>
      <c r="B32" s="4">
        <v>46087.052083333336</v>
      </c>
      <c r="C32" t="s">
        <v>32</v>
      </c>
      <c r="D32" t="s">
        <v>52</v>
      </c>
      <c r="E32">
        <v>6800</v>
      </c>
      <c r="F32" t="s">
        <v>68</v>
      </c>
      <c r="G32">
        <v>1</v>
      </c>
      <c r="H32" t="s">
        <v>8</v>
      </c>
      <c r="I32" s="5" t="str">
        <f>_xlfn.XLOOKUP(C32, CustomersTable[customer_id], CustomersTable[customer_segment])</f>
        <v>Retail</v>
      </c>
      <c r="J32" s="5" t="str">
        <f>_xlfn.XLOOKUP(D32,ChannelsTable[channel_id],ChannelsTable[channel_name])</f>
        <v>ONLINE</v>
      </c>
      <c r="K32" s="5">
        <f>_xlfn.XLOOKUP(C32, CustomersTable[customer_id], CustomersTable[account_age_days])</f>
        <v>8</v>
      </c>
      <c r="L3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32" s="5" t="str" cm="1">
        <f t="array" ref="M32">_xlfn.IFS(AND(L32="HIGH_RISK", OR(I32="VIP", I32="Corporate")), "URGENT",AND(L32="HIGH_RISK", I32="Retail"), "HIGH",F32="DECLINED", "MEDIUM",TRUE, "LOW")</f>
        <v>HIGH</v>
      </c>
      <c r="N32" s="5">
        <f>_xlfn.XLOOKUP(TransactionsTable[[#This Row],[customer_id]],Table4[customer_id],Table4[risk_score])</f>
        <v>2</v>
      </c>
    </row>
    <row r="33" spans="1:14">
      <c r="A33" t="s">
        <v>98</v>
      </c>
      <c r="B33" s="4">
        <v>46087.152777777781</v>
      </c>
      <c r="C33" t="s">
        <v>34</v>
      </c>
      <c r="D33" t="s">
        <v>52</v>
      </c>
      <c r="E33">
        <v>3100</v>
      </c>
      <c r="F33" t="s">
        <v>66</v>
      </c>
      <c r="G33">
        <v>1</v>
      </c>
      <c r="H33" t="s">
        <v>10</v>
      </c>
      <c r="I33" s="5" t="str">
        <f>_xlfn.XLOOKUP(C33, CustomersTable[customer_id], CustomersTable[customer_segment])</f>
        <v>Retail</v>
      </c>
      <c r="J33" s="5" t="str">
        <f>_xlfn.XLOOKUP(D33,ChannelsTable[channel_id],ChannelsTable[channel_name])</f>
        <v>ONLINE</v>
      </c>
      <c r="K33" s="5">
        <f>_xlfn.XLOOKUP(C33, CustomersTable[customer_id], CustomersTable[account_age_days])</f>
        <v>60</v>
      </c>
      <c r="L3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33" s="5" t="str" cm="1">
        <f t="array" ref="M33">_xlfn.IFS(AND(L33="HIGH_RISK", OR(I33="VIP", I33="Corporate")), "URGENT",AND(L33="HIGH_RISK", I33="Retail"), "HIGH",F33="DECLINED", "MEDIUM",TRUE, "LOW")</f>
        <v>HIGH</v>
      </c>
      <c r="N33" s="5">
        <f>_xlfn.XLOOKUP(TransactionsTable[[#This Row],[customer_id]],Table4[customer_id],Table4[risk_score])</f>
        <v>3</v>
      </c>
    </row>
    <row r="34" spans="1:14">
      <c r="A34" t="s">
        <v>99</v>
      </c>
      <c r="B34" s="4">
        <v>46087.305555555555</v>
      </c>
      <c r="C34" t="s">
        <v>26</v>
      </c>
      <c r="D34" t="s">
        <v>50</v>
      </c>
      <c r="E34">
        <v>15000</v>
      </c>
      <c r="F34" t="s">
        <v>66</v>
      </c>
      <c r="G34">
        <v>0</v>
      </c>
      <c r="H34" t="s">
        <v>9</v>
      </c>
      <c r="I34" s="5" t="str">
        <f>_xlfn.XLOOKUP(C34, CustomersTable[customer_id], CustomersTable[customer_segment])</f>
        <v>Corporate</v>
      </c>
      <c r="J34" s="5" t="str">
        <f>_xlfn.XLOOKUP(D34,ChannelsTable[channel_id],ChannelsTable[channel_name])</f>
        <v>POS</v>
      </c>
      <c r="K34" s="5">
        <f>_xlfn.XLOOKUP(C34, CustomersTable[customer_id], CustomersTable[account_age_days])</f>
        <v>890</v>
      </c>
      <c r="L3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34" s="5" t="str" cm="1">
        <f t="array" ref="M34">_xlfn.IFS(AND(L34="HIGH_RISK", OR(I34="VIP", I34="Corporate")), "URGENT",AND(L34="HIGH_RISK", I34="Retail"), "HIGH",F34="DECLINED", "MEDIUM",TRUE, "LOW")</f>
        <v>LOW</v>
      </c>
      <c r="N34" s="5">
        <f>_xlfn.XLOOKUP(TransactionsTable[[#This Row],[customer_id]],Table4[customer_id],Table4[risk_score])</f>
        <v>0</v>
      </c>
    </row>
    <row r="35" spans="1:14">
      <c r="A35" t="s">
        <v>100</v>
      </c>
      <c r="B35" s="4">
        <v>46087.420138888891</v>
      </c>
      <c r="C35" t="s">
        <v>31</v>
      </c>
      <c r="D35" t="s">
        <v>54</v>
      </c>
      <c r="E35">
        <v>85</v>
      </c>
      <c r="F35" t="s">
        <v>66</v>
      </c>
      <c r="G35">
        <v>0</v>
      </c>
      <c r="H35" t="s">
        <v>11</v>
      </c>
      <c r="I35" s="5" t="str">
        <f>_xlfn.XLOOKUP(C35, CustomersTable[customer_id], CustomersTable[customer_segment])</f>
        <v>VIP</v>
      </c>
      <c r="J35" s="5" t="str">
        <f>_xlfn.XLOOKUP(D35,ChannelsTable[channel_id],ChannelsTable[channel_name])</f>
        <v>MOBILE</v>
      </c>
      <c r="K35" s="5">
        <f>_xlfn.XLOOKUP(C35, CustomersTable[customer_id], CustomersTable[account_age_days])</f>
        <v>2100</v>
      </c>
      <c r="L3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35" s="5" t="str" cm="1">
        <f t="array" ref="M35">_xlfn.IFS(AND(L35="HIGH_RISK", OR(I35="VIP", I35="Corporate")), "URGENT",AND(L35="HIGH_RISK", I35="Retail"), "HIGH",F35="DECLINED", "MEDIUM",TRUE, "LOW")</f>
        <v>LOW</v>
      </c>
      <c r="N35" s="5">
        <f>_xlfn.XLOOKUP(TransactionsTable[[#This Row],[customer_id]],Table4[customer_id],Table4[risk_score])</f>
        <v>1</v>
      </c>
    </row>
    <row r="36" spans="1:14">
      <c r="A36" t="s">
        <v>101</v>
      </c>
      <c r="B36" s="4">
        <v>46087.5625</v>
      </c>
      <c r="C36" t="s">
        <v>35</v>
      </c>
      <c r="D36" t="s">
        <v>52</v>
      </c>
      <c r="E36">
        <v>2900</v>
      </c>
      <c r="F36" t="s">
        <v>68</v>
      </c>
      <c r="G36">
        <v>0</v>
      </c>
      <c r="H36" t="s">
        <v>8</v>
      </c>
      <c r="I36" s="5" t="str">
        <f>_xlfn.XLOOKUP(C36, CustomersTable[customer_id], CustomersTable[customer_segment])</f>
        <v>VIP</v>
      </c>
      <c r="J36" s="5" t="str">
        <f>_xlfn.XLOOKUP(D36,ChannelsTable[channel_id],ChannelsTable[channel_name])</f>
        <v>ONLINE</v>
      </c>
      <c r="K36" s="5">
        <f>_xlfn.XLOOKUP(C36, CustomersTable[customer_id], CustomersTable[account_age_days])</f>
        <v>950</v>
      </c>
      <c r="L3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36" s="5" t="str" cm="1">
        <f t="array" ref="M36">_xlfn.IFS(AND(L36="HIGH_RISK", OR(I36="VIP", I36="Corporate")), "URGENT",AND(L36="HIGH_RISK", I36="Retail"), "HIGH",F36="DECLINED", "MEDIUM",TRUE, "LOW")</f>
        <v>URGENT</v>
      </c>
      <c r="N36" s="5">
        <f>_xlfn.XLOOKUP(TransactionsTable[[#This Row],[customer_id]],Table4[customer_id],Table4[risk_score])</f>
        <v>1</v>
      </c>
    </row>
    <row r="37" spans="1:14">
      <c r="A37" t="s">
        <v>102</v>
      </c>
      <c r="B37" s="4">
        <v>46087.697916666664</v>
      </c>
      <c r="C37" t="s">
        <v>22</v>
      </c>
      <c r="D37" t="s">
        <v>52</v>
      </c>
      <c r="E37">
        <v>5400</v>
      </c>
      <c r="F37" t="s">
        <v>68</v>
      </c>
      <c r="G37">
        <v>0</v>
      </c>
      <c r="H37" t="s">
        <v>12</v>
      </c>
      <c r="I37" s="5" t="str">
        <f>_xlfn.XLOOKUP(C37, CustomersTable[customer_id], CustomersTable[customer_segment])</f>
        <v>VIP</v>
      </c>
      <c r="J37" s="5" t="str">
        <f>_xlfn.XLOOKUP(D37,ChannelsTable[channel_id],ChannelsTable[channel_name])</f>
        <v>ONLINE</v>
      </c>
      <c r="K37" s="5">
        <f>_xlfn.XLOOKUP(C37, CustomersTable[customer_id], CustomersTable[account_age_days])</f>
        <v>1200</v>
      </c>
      <c r="L3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37" s="5" t="str" cm="1">
        <f t="array" ref="M37">_xlfn.IFS(AND(L37="HIGH_RISK", OR(I37="VIP", I37="Corporate")), "URGENT",AND(L37="HIGH_RISK", I37="Retail"), "HIGH",F37="DECLINED", "MEDIUM",TRUE, "LOW")</f>
        <v>MEDIUM</v>
      </c>
      <c r="N37" s="5">
        <f>_xlfn.XLOOKUP(TransactionsTable[[#This Row],[customer_id]],Table4[customer_id],Table4[risk_score])</f>
        <v>1</v>
      </c>
    </row>
    <row r="38" spans="1:14">
      <c r="A38" t="s">
        <v>103</v>
      </c>
      <c r="B38" s="4">
        <v>46087.881944444445</v>
      </c>
      <c r="C38" t="s">
        <v>29</v>
      </c>
      <c r="D38" t="s">
        <v>48</v>
      </c>
      <c r="E38">
        <v>300</v>
      </c>
      <c r="F38" t="s">
        <v>66</v>
      </c>
      <c r="G38">
        <v>0</v>
      </c>
      <c r="H38" t="s">
        <v>11</v>
      </c>
      <c r="I38" s="5" t="str">
        <f>_xlfn.XLOOKUP(C38, CustomersTable[customer_id], CustomersTable[customer_segment])</f>
        <v>Retail</v>
      </c>
      <c r="J38" s="5" t="str">
        <f>_xlfn.XLOOKUP(D38,ChannelsTable[channel_id],ChannelsTable[channel_name])</f>
        <v>ATM</v>
      </c>
      <c r="K38" s="5">
        <f>_xlfn.XLOOKUP(C38, CustomersTable[customer_id], CustomersTable[account_age_days])</f>
        <v>320</v>
      </c>
      <c r="L3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38" s="5" t="str" cm="1">
        <f t="array" ref="M38">_xlfn.IFS(AND(L38="HIGH_RISK", OR(I38="VIP", I38="Corporate")), "URGENT",AND(L38="HIGH_RISK", I38="Retail"), "HIGH",F38="DECLINED", "MEDIUM",TRUE, "LOW")</f>
        <v>LOW</v>
      </c>
      <c r="N38" s="5">
        <f>_xlfn.XLOOKUP(TransactionsTable[[#This Row],[customer_id]],Table4[customer_id],Table4[risk_score])</f>
        <v>2</v>
      </c>
    </row>
    <row r="39" spans="1:14">
      <c r="A39" t="s">
        <v>104</v>
      </c>
      <c r="B39" s="4">
        <v>46088.086805555555</v>
      </c>
      <c r="C39" t="s">
        <v>27</v>
      </c>
      <c r="D39" t="s">
        <v>52</v>
      </c>
      <c r="E39">
        <v>7500</v>
      </c>
      <c r="F39" t="s">
        <v>68</v>
      </c>
      <c r="G39">
        <v>1</v>
      </c>
      <c r="H39" t="s">
        <v>8</v>
      </c>
      <c r="I39" s="5" t="str">
        <f>_xlfn.XLOOKUP(C39, CustomersTable[customer_id], CustomersTable[customer_segment])</f>
        <v>Retail</v>
      </c>
      <c r="J39" s="5" t="str">
        <f>_xlfn.XLOOKUP(D39,ChannelsTable[channel_id],ChannelsTable[channel_name])</f>
        <v>ONLINE</v>
      </c>
      <c r="K39" s="5">
        <f>_xlfn.XLOOKUP(C39, CustomersTable[customer_id], CustomersTable[account_age_days])</f>
        <v>15</v>
      </c>
      <c r="L3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39" s="5" t="str" cm="1">
        <f t="array" ref="M39">_xlfn.IFS(AND(L39="HIGH_RISK", OR(I39="VIP", I39="Corporate")), "URGENT",AND(L39="HIGH_RISK", I39="Retail"), "HIGH",F39="DECLINED", "MEDIUM",TRUE, "LOW")</f>
        <v>HIGH</v>
      </c>
      <c r="N39" s="5">
        <f>_xlfn.XLOOKUP(TransactionsTable[[#This Row],[customer_id]],Table4[customer_id],Table4[risk_score])</f>
        <v>3</v>
      </c>
    </row>
    <row r="40" spans="1:14">
      <c r="A40" t="s">
        <v>105</v>
      </c>
      <c r="B40" s="4">
        <v>46088.229166666664</v>
      </c>
      <c r="C40" t="s">
        <v>33</v>
      </c>
      <c r="D40" t="s">
        <v>50</v>
      </c>
      <c r="E40">
        <v>18000</v>
      </c>
      <c r="F40" t="s">
        <v>66</v>
      </c>
      <c r="G40">
        <v>1</v>
      </c>
      <c r="H40" t="s">
        <v>9</v>
      </c>
      <c r="I40" s="5" t="str">
        <f>_xlfn.XLOOKUP(C40, CustomersTable[customer_id], CustomersTable[customer_segment])</f>
        <v>Corporate</v>
      </c>
      <c r="J40" s="5" t="str">
        <f>_xlfn.XLOOKUP(D40,ChannelsTable[channel_id],ChannelsTable[channel_name])</f>
        <v>POS</v>
      </c>
      <c r="K40" s="5">
        <f>_xlfn.XLOOKUP(C40, CustomersTable[customer_id], CustomersTable[account_age_days])</f>
        <v>1400</v>
      </c>
      <c r="L4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40" s="5" t="str" cm="1">
        <f t="array" ref="M40">_xlfn.IFS(AND(L40="HIGH_RISK", OR(I40="VIP", I40="Corporate")), "URGENT",AND(L40="HIGH_RISK", I40="Retail"), "HIGH",F40="DECLINED", "MEDIUM",TRUE, "LOW")</f>
        <v>URGENT</v>
      </c>
      <c r="N40" s="5">
        <f>_xlfn.XLOOKUP(TransactionsTable[[#This Row],[customer_id]],Table4[customer_id],Table4[risk_score])</f>
        <v>0</v>
      </c>
    </row>
    <row r="41" spans="1:14">
      <c r="A41" t="s">
        <v>106</v>
      </c>
      <c r="B41" s="4">
        <v>46088.385416666664</v>
      </c>
      <c r="C41" t="s">
        <v>32</v>
      </c>
      <c r="D41" t="s">
        <v>52</v>
      </c>
      <c r="E41">
        <v>1100</v>
      </c>
      <c r="F41" t="s">
        <v>66</v>
      </c>
      <c r="G41">
        <v>0</v>
      </c>
      <c r="H41" t="s">
        <v>11</v>
      </c>
      <c r="I41" s="5" t="str">
        <f>_xlfn.XLOOKUP(C41, CustomersTable[customer_id], CustomersTable[customer_segment])</f>
        <v>Retail</v>
      </c>
      <c r="J41" s="5" t="str">
        <f>_xlfn.XLOOKUP(D41,ChannelsTable[channel_id],ChannelsTable[channel_name])</f>
        <v>ONLINE</v>
      </c>
      <c r="K41" s="5">
        <f>_xlfn.XLOOKUP(C41, CustomersTable[customer_id], CustomersTable[account_age_days])</f>
        <v>8</v>
      </c>
      <c r="L4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41" s="5" t="str" cm="1">
        <f t="array" ref="M41">_xlfn.IFS(AND(L41="HIGH_RISK", OR(I41="VIP", I41="Corporate")), "URGENT",AND(L41="HIGH_RISK", I41="Retail"), "HIGH",F41="DECLINED", "MEDIUM",TRUE, "LOW")</f>
        <v>LOW</v>
      </c>
      <c r="N41" s="5">
        <f>_xlfn.XLOOKUP(TransactionsTable[[#This Row],[customer_id]],Table4[customer_id],Table4[risk_score])</f>
        <v>2</v>
      </c>
    </row>
    <row r="42" spans="1:14">
      <c r="A42" t="s">
        <v>107</v>
      </c>
      <c r="B42" s="4">
        <v>46088.527777777781</v>
      </c>
      <c r="C42" t="s">
        <v>25</v>
      </c>
      <c r="D42" t="s">
        <v>54</v>
      </c>
      <c r="E42">
        <v>210</v>
      </c>
      <c r="F42" t="s">
        <v>66</v>
      </c>
      <c r="G42">
        <v>0</v>
      </c>
      <c r="H42" t="s">
        <v>11</v>
      </c>
      <c r="I42" s="5" t="str">
        <f>_xlfn.XLOOKUP(C42, CustomersTable[customer_id], CustomersTable[customer_segment])</f>
        <v>Retail</v>
      </c>
      <c r="J42" s="5" t="str">
        <f>_xlfn.XLOOKUP(D42,ChannelsTable[channel_id],ChannelsTable[channel_name])</f>
        <v>MOBILE</v>
      </c>
      <c r="K42" s="5">
        <f>_xlfn.XLOOKUP(C42, CustomersTable[customer_id], CustomersTable[account_age_days])</f>
        <v>450</v>
      </c>
      <c r="L4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42" s="5" t="str" cm="1">
        <f t="array" ref="M42">_xlfn.IFS(AND(L42="HIGH_RISK", OR(I42="VIP", I42="Corporate")), "URGENT",AND(L42="HIGH_RISK", I42="Retail"), "HIGH",F42="DECLINED", "MEDIUM",TRUE, "LOW")</f>
        <v>LOW</v>
      </c>
      <c r="N42" s="5">
        <f>_xlfn.XLOOKUP(TransactionsTable[[#This Row],[customer_id]],Table4[customer_id],Table4[risk_score])</f>
        <v>0</v>
      </c>
    </row>
    <row r="43" spans="1:14">
      <c r="A43" t="s">
        <v>108</v>
      </c>
      <c r="B43" s="4">
        <v>46088.708333333336</v>
      </c>
      <c r="C43" t="s">
        <v>34</v>
      </c>
      <c r="D43" t="s">
        <v>52</v>
      </c>
      <c r="E43">
        <v>9200</v>
      </c>
      <c r="F43" t="s">
        <v>68</v>
      </c>
      <c r="G43">
        <v>0</v>
      </c>
      <c r="H43" t="s">
        <v>10</v>
      </c>
      <c r="I43" s="5" t="str">
        <f>_xlfn.XLOOKUP(C43, CustomersTable[customer_id], CustomersTable[customer_segment])</f>
        <v>Retail</v>
      </c>
      <c r="J43" s="5" t="str">
        <f>_xlfn.XLOOKUP(D43,ChannelsTable[channel_id],ChannelsTable[channel_name])</f>
        <v>ONLINE</v>
      </c>
      <c r="K43" s="5">
        <f>_xlfn.XLOOKUP(C43, CustomersTable[customer_id], CustomersTable[account_age_days])</f>
        <v>60</v>
      </c>
      <c r="L4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43" s="5" t="str" cm="1">
        <f t="array" ref="M43">_xlfn.IFS(AND(L43="HIGH_RISK", OR(I43="VIP", I43="Corporate")), "URGENT",AND(L43="HIGH_RISK", I43="Retail"), "HIGH",F43="DECLINED", "MEDIUM",TRUE, "LOW")</f>
        <v>HIGH</v>
      </c>
      <c r="N43" s="5">
        <f>_xlfn.XLOOKUP(TransactionsTable[[#This Row],[customer_id]],Table4[customer_id],Table4[risk_score])</f>
        <v>3</v>
      </c>
    </row>
    <row r="44" spans="1:14">
      <c r="A44" t="s">
        <v>109</v>
      </c>
      <c r="B44" s="4">
        <v>46088.927083333336</v>
      </c>
      <c r="C44" t="s">
        <v>26</v>
      </c>
      <c r="D44" t="s">
        <v>52</v>
      </c>
      <c r="E44">
        <v>3400</v>
      </c>
      <c r="F44" t="s">
        <v>66</v>
      </c>
      <c r="G44">
        <v>0</v>
      </c>
      <c r="H44" t="s">
        <v>12</v>
      </c>
      <c r="I44" s="5" t="str">
        <f>_xlfn.XLOOKUP(C44, CustomersTable[customer_id], CustomersTable[customer_segment])</f>
        <v>Corporate</v>
      </c>
      <c r="J44" s="5" t="str">
        <f>_xlfn.XLOOKUP(D44,ChannelsTable[channel_id],ChannelsTable[channel_name])</f>
        <v>ONLINE</v>
      </c>
      <c r="K44" s="5">
        <f>_xlfn.XLOOKUP(C44, CustomersTable[customer_id], CustomersTable[account_age_days])</f>
        <v>890</v>
      </c>
      <c r="L4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44" s="5" t="str" cm="1">
        <f t="array" ref="M44">_xlfn.IFS(AND(L44="HIGH_RISK", OR(I44="VIP", I44="Corporate")), "URGENT",AND(L44="HIGH_RISK", I44="Retail"), "HIGH",F44="DECLINED", "MEDIUM",TRUE, "LOW")</f>
        <v>LOW</v>
      </c>
      <c r="N44" s="5">
        <f>_xlfn.XLOOKUP(TransactionsTable[[#This Row],[customer_id]],Table4[customer_id],Table4[risk_score])</f>
        <v>0</v>
      </c>
    </row>
    <row r="45" spans="1:14">
      <c r="A45" t="s">
        <v>110</v>
      </c>
      <c r="B45" s="4">
        <v>46089.076388888891</v>
      </c>
      <c r="C45" t="s">
        <v>31</v>
      </c>
      <c r="D45" t="s">
        <v>52</v>
      </c>
      <c r="E45">
        <v>5100</v>
      </c>
      <c r="F45" t="s">
        <v>68</v>
      </c>
      <c r="G45">
        <v>1</v>
      </c>
      <c r="H45" t="s">
        <v>8</v>
      </c>
      <c r="I45" s="5" t="str">
        <f>_xlfn.XLOOKUP(C45, CustomersTable[customer_id], CustomersTable[customer_segment])</f>
        <v>VIP</v>
      </c>
      <c r="J45" s="5" t="str">
        <f>_xlfn.XLOOKUP(D45,ChannelsTable[channel_id],ChannelsTable[channel_name])</f>
        <v>ONLINE</v>
      </c>
      <c r="K45" s="5">
        <f>_xlfn.XLOOKUP(C45, CustomersTable[customer_id], CustomersTable[account_age_days])</f>
        <v>2100</v>
      </c>
      <c r="L4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45" s="5" t="str" cm="1">
        <f t="array" ref="M45">_xlfn.IFS(AND(L45="HIGH_RISK", OR(I45="VIP", I45="Corporate")), "URGENT",AND(L45="HIGH_RISK", I45="Retail"), "HIGH",F45="DECLINED", "MEDIUM",TRUE, "LOW")</f>
        <v>URGENT</v>
      </c>
      <c r="N45" s="5">
        <f>_xlfn.XLOOKUP(TransactionsTable[[#This Row],[customer_id]],Table4[customer_id],Table4[risk_score])</f>
        <v>1</v>
      </c>
    </row>
    <row r="46" spans="1:14">
      <c r="A46" t="s">
        <v>111</v>
      </c>
      <c r="B46" s="4">
        <v>46089.173611111109</v>
      </c>
      <c r="C46" t="s">
        <v>35</v>
      </c>
      <c r="D46" t="s">
        <v>48</v>
      </c>
      <c r="E46">
        <v>500</v>
      </c>
      <c r="F46" t="s">
        <v>66</v>
      </c>
      <c r="G46">
        <v>1</v>
      </c>
      <c r="H46" t="s">
        <v>11</v>
      </c>
      <c r="I46" s="5" t="str">
        <f>_xlfn.XLOOKUP(C46, CustomersTable[customer_id], CustomersTable[customer_segment])</f>
        <v>VIP</v>
      </c>
      <c r="J46" s="5" t="str">
        <f>_xlfn.XLOOKUP(D46,ChannelsTable[channel_id],ChannelsTable[channel_name])</f>
        <v>ATM</v>
      </c>
      <c r="K46" s="5">
        <f>_xlfn.XLOOKUP(C46, CustomersTable[customer_id], CustomersTable[account_age_days])</f>
        <v>950</v>
      </c>
      <c r="L4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46" s="5" t="str" cm="1">
        <f t="array" ref="M46">_xlfn.IFS(AND(L46="HIGH_RISK", OR(I46="VIP", I46="Corporate")), "URGENT",AND(L46="HIGH_RISK", I46="Retail"), "HIGH",F46="DECLINED", "MEDIUM",TRUE, "LOW")</f>
        <v>LOW</v>
      </c>
      <c r="N46" s="5">
        <f>_xlfn.XLOOKUP(TransactionsTable[[#This Row],[customer_id]],Table4[customer_id],Table4[risk_score])</f>
        <v>1</v>
      </c>
    </row>
    <row r="47" spans="1:14">
      <c r="A47" t="s">
        <v>112</v>
      </c>
      <c r="B47" s="4">
        <v>46089.354166666664</v>
      </c>
      <c r="C47" t="s">
        <v>22</v>
      </c>
      <c r="D47" t="s">
        <v>50</v>
      </c>
      <c r="E47">
        <v>11000</v>
      </c>
      <c r="F47" t="s">
        <v>66</v>
      </c>
      <c r="G47">
        <v>0</v>
      </c>
      <c r="H47" t="s">
        <v>9</v>
      </c>
      <c r="I47" s="5" t="str">
        <f>_xlfn.XLOOKUP(C47, CustomersTable[customer_id], CustomersTable[customer_segment])</f>
        <v>VIP</v>
      </c>
      <c r="J47" s="5" t="str">
        <f>_xlfn.XLOOKUP(D47,ChannelsTable[channel_id],ChannelsTable[channel_name])</f>
        <v>POS</v>
      </c>
      <c r="K47" s="5">
        <f>_xlfn.XLOOKUP(C47, CustomersTable[customer_id], CustomersTable[account_age_days])</f>
        <v>1200</v>
      </c>
      <c r="L4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47" s="5" t="str" cm="1">
        <f t="array" ref="M47">_xlfn.IFS(AND(L47="HIGH_RISK", OR(I47="VIP", I47="Corporate")), "URGENT",AND(L47="HIGH_RISK", I47="Retail"), "HIGH",F47="DECLINED", "MEDIUM",TRUE, "LOW")</f>
        <v>LOW</v>
      </c>
      <c r="N47" s="5">
        <f>_xlfn.XLOOKUP(TransactionsTable[[#This Row],[customer_id]],Table4[customer_id],Table4[risk_score])</f>
        <v>1</v>
      </c>
    </row>
    <row r="48" spans="1:14">
      <c r="A48" t="s">
        <v>113</v>
      </c>
      <c r="B48" s="4">
        <v>46089.496527777781</v>
      </c>
      <c r="C48" t="s">
        <v>29</v>
      </c>
      <c r="D48" t="s">
        <v>52</v>
      </c>
      <c r="E48">
        <v>2300</v>
      </c>
      <c r="F48" t="s">
        <v>68</v>
      </c>
      <c r="G48">
        <v>0</v>
      </c>
      <c r="H48" t="s">
        <v>10</v>
      </c>
      <c r="I48" s="5" t="str">
        <f>_xlfn.XLOOKUP(C48, CustomersTable[customer_id], CustomersTable[customer_segment])</f>
        <v>Retail</v>
      </c>
      <c r="J48" s="5" t="str">
        <f>_xlfn.XLOOKUP(D48,ChannelsTable[channel_id],ChannelsTable[channel_name])</f>
        <v>ONLINE</v>
      </c>
      <c r="K48" s="5">
        <f>_xlfn.XLOOKUP(C48, CustomersTable[customer_id], CustomersTable[account_age_days])</f>
        <v>320</v>
      </c>
      <c r="L4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48" s="5" t="str" cm="1">
        <f t="array" ref="M48">_xlfn.IFS(AND(L48="HIGH_RISK", OR(I48="VIP", I48="Corporate")), "URGENT",AND(L48="HIGH_RISK", I48="Retail"), "HIGH",F48="DECLINED", "MEDIUM",TRUE, "LOW")</f>
        <v>HIGH</v>
      </c>
      <c r="N48" s="5">
        <f>_xlfn.XLOOKUP(TransactionsTable[[#This Row],[customer_id]],Table4[customer_id],Table4[risk_score])</f>
        <v>2</v>
      </c>
    </row>
    <row r="49" spans="1:14">
      <c r="A49" t="s">
        <v>114</v>
      </c>
      <c r="B49" s="4">
        <v>46089.638888888891</v>
      </c>
      <c r="C49" t="s">
        <v>33</v>
      </c>
      <c r="D49" t="s">
        <v>52</v>
      </c>
      <c r="E49">
        <v>14200</v>
      </c>
      <c r="F49" t="s">
        <v>68</v>
      </c>
      <c r="G49">
        <v>0</v>
      </c>
      <c r="H49" t="s">
        <v>8</v>
      </c>
      <c r="I49" s="5" t="str">
        <f>_xlfn.XLOOKUP(C49, CustomersTable[customer_id], CustomersTable[customer_segment])</f>
        <v>Corporate</v>
      </c>
      <c r="J49" s="5" t="str">
        <f>_xlfn.XLOOKUP(D49,ChannelsTable[channel_id],ChannelsTable[channel_name])</f>
        <v>ONLINE</v>
      </c>
      <c r="K49" s="5">
        <f>_xlfn.XLOOKUP(C49, CustomersTable[customer_id], CustomersTable[account_age_days])</f>
        <v>1400</v>
      </c>
      <c r="L4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49" s="5" t="str" cm="1">
        <f t="array" ref="M49">_xlfn.IFS(AND(L49="HIGH_RISK", OR(I49="VIP", I49="Corporate")), "URGENT",AND(L49="HIGH_RISK", I49="Retail"), "HIGH",F49="DECLINED", "MEDIUM",TRUE, "LOW")</f>
        <v>URGENT</v>
      </c>
      <c r="N49" s="5">
        <f>_xlfn.XLOOKUP(TransactionsTable[[#This Row],[customer_id]],Table4[customer_id],Table4[risk_score])</f>
        <v>0</v>
      </c>
    </row>
    <row r="50" spans="1:14">
      <c r="A50" t="s">
        <v>115</v>
      </c>
      <c r="B50" s="4">
        <v>46089.819444444445</v>
      </c>
      <c r="C50" t="s">
        <v>27</v>
      </c>
      <c r="D50" t="s">
        <v>54</v>
      </c>
      <c r="E50">
        <v>150</v>
      </c>
      <c r="F50" t="s">
        <v>66</v>
      </c>
      <c r="G50">
        <v>0</v>
      </c>
      <c r="H50" t="s">
        <v>11</v>
      </c>
      <c r="I50" s="5" t="str">
        <f>_xlfn.XLOOKUP(C50, CustomersTable[customer_id], CustomersTable[customer_segment])</f>
        <v>Retail</v>
      </c>
      <c r="J50" s="5" t="str">
        <f>_xlfn.XLOOKUP(D50,ChannelsTable[channel_id],ChannelsTable[channel_name])</f>
        <v>MOBILE</v>
      </c>
      <c r="K50" s="5">
        <f>_xlfn.XLOOKUP(C50, CustomersTable[customer_id], CustomersTable[account_age_days])</f>
        <v>15</v>
      </c>
      <c r="L5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0" s="5" t="str" cm="1">
        <f t="array" ref="M50">_xlfn.IFS(AND(L50="HIGH_RISK", OR(I50="VIP", I50="Corporate")), "URGENT",AND(L50="HIGH_RISK", I50="Retail"), "HIGH",F50="DECLINED", "MEDIUM",TRUE, "LOW")</f>
        <v>LOW</v>
      </c>
      <c r="N50" s="5">
        <f>_xlfn.XLOOKUP(TransactionsTable[[#This Row],[customer_id]],Table4[customer_id],Table4[risk_score])</f>
        <v>3</v>
      </c>
    </row>
    <row r="51" spans="1:14">
      <c r="A51" t="s">
        <v>116</v>
      </c>
      <c r="B51" s="4">
        <v>46089.965277777781</v>
      </c>
      <c r="C51" t="s">
        <v>32</v>
      </c>
      <c r="D51" t="s">
        <v>52</v>
      </c>
      <c r="E51">
        <v>8100</v>
      </c>
      <c r="F51" t="s">
        <v>66</v>
      </c>
      <c r="G51">
        <v>0</v>
      </c>
      <c r="H51" t="s">
        <v>10</v>
      </c>
      <c r="I51" s="5" t="str">
        <f>_xlfn.XLOOKUP(C51, CustomersTable[customer_id], CustomersTable[customer_segment])</f>
        <v>Retail</v>
      </c>
      <c r="J51" s="5" t="str">
        <f>_xlfn.XLOOKUP(D51,ChannelsTable[channel_id],ChannelsTable[channel_name])</f>
        <v>ONLINE</v>
      </c>
      <c r="K51" s="5">
        <f>_xlfn.XLOOKUP(C51, CustomersTable[customer_id], CustomersTable[account_age_days])</f>
        <v>8</v>
      </c>
      <c r="L5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1" s="5" t="str" cm="1">
        <f t="array" ref="M51">_xlfn.IFS(AND(L51="HIGH_RISK", OR(I51="VIP", I51="Corporate")), "URGENT",AND(L51="HIGH_RISK", I51="Retail"), "HIGH",F51="DECLINED", "MEDIUM",TRUE, "LOW")</f>
        <v>LOW</v>
      </c>
      <c r="N51" s="5">
        <f>_xlfn.XLOOKUP(TransactionsTable[[#This Row],[customer_id]],Table4[customer_id],Table4[risk_score])</f>
        <v>2</v>
      </c>
    </row>
    <row r="52" spans="1:14">
      <c r="A52" s="14" t="s">
        <v>117</v>
      </c>
      <c r="B52" s="15">
        <v>46089.23474537037</v>
      </c>
      <c r="C52" s="14" t="s">
        <v>36</v>
      </c>
      <c r="D52" s="14" t="s">
        <v>48</v>
      </c>
      <c r="E52" s="14">
        <v>5354</v>
      </c>
      <c r="F52" s="14" t="s">
        <v>68</v>
      </c>
      <c r="G52" s="14">
        <v>1</v>
      </c>
      <c r="H52" s="14" t="s">
        <v>11</v>
      </c>
      <c r="I52" s="5" t="str">
        <f>_xlfn.XLOOKUP(C52, CustomersTable[customer_id], CustomersTable[customer_segment])</f>
        <v>Retail</v>
      </c>
      <c r="J52" s="5" t="str">
        <f>_xlfn.XLOOKUP(D52,ChannelsTable[channel_id],ChannelsTable[channel_name])</f>
        <v>ATM</v>
      </c>
      <c r="K52" s="5">
        <f>_xlfn.XLOOKUP(C52, CustomersTable[customer_id], CustomersTable[account_age_days])</f>
        <v>66</v>
      </c>
      <c r="L5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52" s="5" t="str" cm="1">
        <f t="array" ref="M52">_xlfn.IFS(AND(L52="HIGH_RISK", OR(I52="VIP", I52="Corporate")), "URGENT",AND(L52="HIGH_RISK", I52="Retail"), "HIGH",F52="DECLINED", "MEDIUM",TRUE, "LOW")</f>
        <v>HIGH</v>
      </c>
      <c r="N52" s="5">
        <f>_xlfn.XLOOKUP(TransactionsTable[[#This Row],[customer_id]],Table4[customer_id],Table4[risk_score])</f>
        <v>2</v>
      </c>
    </row>
    <row r="53" spans="1:14">
      <c r="A53" s="14" t="s">
        <v>118</v>
      </c>
      <c r="B53" s="15">
        <v>46089.309374999997</v>
      </c>
      <c r="C53" s="14" t="s">
        <v>34</v>
      </c>
      <c r="D53" s="14" t="s">
        <v>52</v>
      </c>
      <c r="E53" s="14">
        <v>3530</v>
      </c>
      <c r="F53" s="14" t="s">
        <v>66</v>
      </c>
      <c r="G53" s="14">
        <v>0</v>
      </c>
      <c r="H53" s="14" t="s">
        <v>10</v>
      </c>
      <c r="I53" s="5" t="str">
        <f>_xlfn.XLOOKUP(C53, CustomersTable[customer_id], CustomersTable[customer_segment])</f>
        <v>Retail</v>
      </c>
      <c r="J53" s="5" t="str">
        <f>_xlfn.XLOOKUP(D53,ChannelsTable[channel_id],ChannelsTable[channel_name])</f>
        <v>ONLINE</v>
      </c>
      <c r="K53" s="5">
        <f>_xlfn.XLOOKUP(C53, CustomersTable[customer_id], CustomersTable[account_age_days])</f>
        <v>60</v>
      </c>
      <c r="L5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3" s="5" t="str" cm="1">
        <f t="array" ref="M53">_xlfn.IFS(AND(L53="HIGH_RISK", OR(I53="VIP", I53="Corporate")), "URGENT",AND(L53="HIGH_RISK", I53="Retail"), "HIGH",F53="DECLINED", "MEDIUM",TRUE, "LOW")</f>
        <v>LOW</v>
      </c>
      <c r="N53" s="5">
        <f>_xlfn.XLOOKUP(TransactionsTable[[#This Row],[customer_id]],Table4[customer_id],Table4[risk_score])</f>
        <v>3</v>
      </c>
    </row>
    <row r="54" spans="1:14">
      <c r="A54" s="14" t="s">
        <v>119</v>
      </c>
      <c r="B54" s="15">
        <v>46089.525648148148</v>
      </c>
      <c r="C54" s="14" t="s">
        <v>37</v>
      </c>
      <c r="D54" s="14" t="s">
        <v>52</v>
      </c>
      <c r="E54" s="14">
        <v>15232</v>
      </c>
      <c r="F54" s="14" t="s">
        <v>66</v>
      </c>
      <c r="G54" s="14">
        <v>0</v>
      </c>
      <c r="H54" s="14" t="s">
        <v>10</v>
      </c>
      <c r="I54" s="5" t="str">
        <f>_xlfn.XLOOKUP(C54, CustomersTable[customer_id], CustomersTable[customer_segment])</f>
        <v>Retail</v>
      </c>
      <c r="J54" s="5" t="str">
        <f>_xlfn.XLOOKUP(D54,ChannelsTable[channel_id],ChannelsTable[channel_name])</f>
        <v>ONLINE</v>
      </c>
      <c r="K54" s="5">
        <f>_xlfn.XLOOKUP(C54, CustomersTable[customer_id], CustomersTable[account_age_days])</f>
        <v>10</v>
      </c>
      <c r="L5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4" s="5" t="str" cm="1">
        <f t="array" ref="M54">_xlfn.IFS(AND(L54="HIGH_RISK", OR(I54="VIP", I54="Corporate")), "URGENT",AND(L54="HIGH_RISK", I54="Retail"), "HIGH",F54="DECLINED", "MEDIUM",TRUE, "LOW")</f>
        <v>LOW</v>
      </c>
      <c r="N54" s="5">
        <f>_xlfn.XLOOKUP(TransactionsTable[[#This Row],[customer_id]],Table4[customer_id],Table4[risk_score])</f>
        <v>0</v>
      </c>
    </row>
    <row r="55" spans="1:14">
      <c r="A55" s="14" t="s">
        <v>120</v>
      </c>
      <c r="B55" s="15">
        <v>46089.911851851852</v>
      </c>
      <c r="C55" s="14" t="s">
        <v>27</v>
      </c>
      <c r="D55" s="14" t="s">
        <v>48</v>
      </c>
      <c r="E55" s="14">
        <v>2873</v>
      </c>
      <c r="F55" s="14" t="s">
        <v>66</v>
      </c>
      <c r="G55" s="14">
        <v>0</v>
      </c>
      <c r="H55" s="14" t="s">
        <v>10</v>
      </c>
      <c r="I55" s="5" t="str">
        <f>_xlfn.XLOOKUP(C55, CustomersTable[customer_id], CustomersTable[customer_segment])</f>
        <v>Retail</v>
      </c>
      <c r="J55" s="5" t="str">
        <f>_xlfn.XLOOKUP(D55,ChannelsTable[channel_id],ChannelsTable[channel_name])</f>
        <v>ATM</v>
      </c>
      <c r="K55" s="5">
        <f>_xlfn.XLOOKUP(C55, CustomersTable[customer_id], CustomersTable[account_age_days])</f>
        <v>15</v>
      </c>
      <c r="L5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5" s="5" t="str" cm="1">
        <f t="array" ref="M55">_xlfn.IFS(AND(L55="HIGH_RISK", OR(I55="VIP", I55="Corporate")), "URGENT",AND(L55="HIGH_RISK", I55="Retail"), "HIGH",F55="DECLINED", "MEDIUM",TRUE, "LOW")</f>
        <v>LOW</v>
      </c>
      <c r="N55" s="5">
        <f>_xlfn.XLOOKUP(TransactionsTable[[#This Row],[customer_id]],Table4[customer_id],Table4[risk_score])</f>
        <v>3</v>
      </c>
    </row>
    <row r="56" spans="1:14">
      <c r="A56" s="14" t="s">
        <v>121</v>
      </c>
      <c r="B56" s="15">
        <v>46089.953877314816</v>
      </c>
      <c r="C56" s="14" t="s">
        <v>22</v>
      </c>
      <c r="D56" s="14" t="s">
        <v>48</v>
      </c>
      <c r="E56" s="14">
        <v>2672</v>
      </c>
      <c r="F56" s="14" t="s">
        <v>66</v>
      </c>
      <c r="G56" s="14">
        <v>1</v>
      </c>
      <c r="H56" s="14" t="s">
        <v>8</v>
      </c>
      <c r="I56" s="5" t="str">
        <f>_xlfn.XLOOKUP(C56, CustomersTable[customer_id], CustomersTable[customer_segment])</f>
        <v>VIP</v>
      </c>
      <c r="J56" s="5" t="str">
        <f>_xlfn.XLOOKUP(D56,ChannelsTable[channel_id],ChannelsTable[channel_name])</f>
        <v>ATM</v>
      </c>
      <c r="K56" s="5">
        <f>_xlfn.XLOOKUP(C56, CustomersTable[customer_id], CustomersTable[account_age_days])</f>
        <v>1200</v>
      </c>
      <c r="L5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6" s="5" t="str" cm="1">
        <f t="array" ref="M56">_xlfn.IFS(AND(L56="HIGH_RISK", OR(I56="VIP", I56="Corporate")), "URGENT",AND(L56="HIGH_RISK", I56="Retail"), "HIGH",F56="DECLINED", "MEDIUM",TRUE, "LOW")</f>
        <v>LOW</v>
      </c>
      <c r="N56" s="5">
        <f>_xlfn.XLOOKUP(TransactionsTable[[#This Row],[customer_id]],Table4[customer_id],Table4[risk_score])</f>
        <v>1</v>
      </c>
    </row>
    <row r="57" spans="1:14">
      <c r="A57" s="14" t="s">
        <v>122</v>
      </c>
      <c r="B57" s="15">
        <v>46089.995405092595</v>
      </c>
      <c r="C57" s="14" t="s">
        <v>34</v>
      </c>
      <c r="D57" s="14" t="s">
        <v>52</v>
      </c>
      <c r="E57" s="14">
        <v>9790</v>
      </c>
      <c r="F57" s="14" t="s">
        <v>68</v>
      </c>
      <c r="G57" s="14">
        <v>1</v>
      </c>
      <c r="H57" s="14" t="s">
        <v>10</v>
      </c>
      <c r="I57" s="5" t="str">
        <f>_xlfn.XLOOKUP(C57, CustomersTable[customer_id], CustomersTable[customer_segment])</f>
        <v>Retail</v>
      </c>
      <c r="J57" s="5" t="str">
        <f>_xlfn.XLOOKUP(D57,ChannelsTable[channel_id],ChannelsTable[channel_name])</f>
        <v>ONLINE</v>
      </c>
      <c r="K57" s="5">
        <f>_xlfn.XLOOKUP(C57, CustomersTable[customer_id], CustomersTable[account_age_days])</f>
        <v>60</v>
      </c>
      <c r="L5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57" s="5" t="str" cm="1">
        <f t="array" ref="M57">_xlfn.IFS(AND(L57="HIGH_RISK", OR(I57="VIP", I57="Corporate")), "URGENT",AND(L57="HIGH_RISK", I57="Retail"), "HIGH",F57="DECLINED", "MEDIUM",TRUE, "LOW")</f>
        <v>HIGH</v>
      </c>
      <c r="N57" s="5">
        <f>_xlfn.XLOOKUP(TransactionsTable[[#This Row],[customer_id]],Table4[customer_id],Table4[risk_score])</f>
        <v>3</v>
      </c>
    </row>
    <row r="58" spans="1:14">
      <c r="A58" s="14" t="s">
        <v>123</v>
      </c>
      <c r="B58" s="15">
        <v>46090.137060185189</v>
      </c>
      <c r="C58" s="14" t="s">
        <v>36</v>
      </c>
      <c r="D58" s="14" t="s">
        <v>52</v>
      </c>
      <c r="E58" s="14">
        <v>8731</v>
      </c>
      <c r="F58" s="14" t="s">
        <v>66</v>
      </c>
      <c r="G58" s="14">
        <v>1</v>
      </c>
      <c r="H58" s="14" t="s">
        <v>11</v>
      </c>
      <c r="I58" s="5" t="str">
        <f>_xlfn.XLOOKUP(C58, CustomersTable[customer_id], CustomersTable[customer_segment])</f>
        <v>Retail</v>
      </c>
      <c r="J58" s="5" t="str">
        <f>_xlfn.XLOOKUP(D58,ChannelsTable[channel_id],ChannelsTable[channel_name])</f>
        <v>ONLINE</v>
      </c>
      <c r="K58" s="5">
        <f>_xlfn.XLOOKUP(C58, CustomersTable[customer_id], CustomersTable[account_age_days])</f>
        <v>66</v>
      </c>
      <c r="L5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58" s="5" t="str" cm="1">
        <f t="array" ref="M58">_xlfn.IFS(AND(L58="HIGH_RISK", OR(I58="VIP", I58="Corporate")), "URGENT",AND(L58="HIGH_RISK", I58="Retail"), "HIGH",F58="DECLINED", "MEDIUM",TRUE, "LOW")</f>
        <v>HIGH</v>
      </c>
      <c r="N58" s="5">
        <f>_xlfn.XLOOKUP(TransactionsTable[[#This Row],[customer_id]],Table4[customer_id],Table4[risk_score])</f>
        <v>2</v>
      </c>
    </row>
    <row r="59" spans="1:14">
      <c r="A59" s="14" t="s">
        <v>124</v>
      </c>
      <c r="B59" s="15">
        <v>46090.308958333335</v>
      </c>
      <c r="C59" s="14" t="s">
        <v>43</v>
      </c>
      <c r="D59" s="14" t="s">
        <v>48</v>
      </c>
      <c r="E59" s="14">
        <v>17130</v>
      </c>
      <c r="F59" s="14" t="s">
        <v>66</v>
      </c>
      <c r="G59" s="14">
        <v>0</v>
      </c>
      <c r="H59" s="14" t="s">
        <v>9</v>
      </c>
      <c r="I59" s="5" t="str">
        <f>_xlfn.XLOOKUP(C59, CustomersTable[customer_id], CustomersTable[customer_segment])</f>
        <v>Retail</v>
      </c>
      <c r="J59" s="5" t="str">
        <f>_xlfn.XLOOKUP(D59,ChannelsTable[channel_id],ChannelsTable[channel_name])</f>
        <v>ATM</v>
      </c>
      <c r="K59" s="5">
        <f>_xlfn.XLOOKUP(C59, CustomersTable[customer_id], CustomersTable[account_age_days])</f>
        <v>442</v>
      </c>
      <c r="L5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59" s="5" t="str" cm="1">
        <f t="array" ref="M59">_xlfn.IFS(AND(L59="HIGH_RISK", OR(I59="VIP", I59="Corporate")), "URGENT",AND(L59="HIGH_RISK", I59="Retail"), "HIGH",F59="DECLINED", "MEDIUM",TRUE, "LOW")</f>
        <v>LOW</v>
      </c>
      <c r="N59" s="5">
        <f>_xlfn.XLOOKUP(TransactionsTable[[#This Row],[customer_id]],Table4[customer_id],Table4[risk_score])</f>
        <v>1</v>
      </c>
    </row>
    <row r="60" spans="1:14">
      <c r="A60" s="14" t="s">
        <v>125</v>
      </c>
      <c r="B60" s="15">
        <v>46090.692650462966</v>
      </c>
      <c r="C60" s="14" t="s">
        <v>37</v>
      </c>
      <c r="D60" s="14" t="s">
        <v>48</v>
      </c>
      <c r="E60" s="14">
        <v>3437</v>
      </c>
      <c r="F60" s="14" t="s">
        <v>66</v>
      </c>
      <c r="G60" s="14">
        <v>0</v>
      </c>
      <c r="H60" s="14" t="s">
        <v>12</v>
      </c>
      <c r="I60" s="5" t="str">
        <f>_xlfn.XLOOKUP(C60, CustomersTable[customer_id], CustomersTable[customer_segment])</f>
        <v>Retail</v>
      </c>
      <c r="J60" s="5" t="str">
        <f>_xlfn.XLOOKUP(D60,ChannelsTable[channel_id],ChannelsTable[channel_name])</f>
        <v>ATM</v>
      </c>
      <c r="K60" s="5">
        <f>_xlfn.XLOOKUP(C60, CustomersTable[customer_id], CustomersTable[account_age_days])</f>
        <v>10</v>
      </c>
      <c r="L6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0" s="5" t="str" cm="1">
        <f t="array" ref="M60">_xlfn.IFS(AND(L60="HIGH_RISK", OR(I60="VIP", I60="Corporate")), "URGENT",AND(L60="HIGH_RISK", I60="Retail"), "HIGH",F60="DECLINED", "MEDIUM",TRUE, "LOW")</f>
        <v>LOW</v>
      </c>
      <c r="N60" s="5">
        <f>_xlfn.XLOOKUP(TransactionsTable[[#This Row],[customer_id]],Table4[customer_id],Table4[risk_score])</f>
        <v>0</v>
      </c>
    </row>
    <row r="61" spans="1:14">
      <c r="A61" s="14" t="s">
        <v>126</v>
      </c>
      <c r="B61" s="15">
        <v>46091.101550925923</v>
      </c>
      <c r="C61" s="14" t="s">
        <v>37</v>
      </c>
      <c r="D61" s="14" t="s">
        <v>50</v>
      </c>
      <c r="E61" s="14">
        <v>16036</v>
      </c>
      <c r="F61" s="14" t="s">
        <v>66</v>
      </c>
      <c r="G61" s="14">
        <v>1</v>
      </c>
      <c r="H61" s="14" t="s">
        <v>9</v>
      </c>
      <c r="I61" s="5" t="str">
        <f>_xlfn.XLOOKUP(C61, CustomersTable[customer_id], CustomersTable[customer_segment])</f>
        <v>Retail</v>
      </c>
      <c r="J61" s="5" t="str">
        <f>_xlfn.XLOOKUP(D61,ChannelsTable[channel_id],ChannelsTable[channel_name])</f>
        <v>POS</v>
      </c>
      <c r="K61" s="5">
        <f>_xlfn.XLOOKUP(C61, CustomersTable[customer_id], CustomersTable[account_age_days])</f>
        <v>10</v>
      </c>
      <c r="L6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61" s="5" t="str" cm="1">
        <f t="array" ref="M61">_xlfn.IFS(AND(L61="HIGH_RISK", OR(I61="VIP", I61="Corporate")), "URGENT",AND(L61="HIGH_RISK", I61="Retail"), "HIGH",F61="DECLINED", "MEDIUM",TRUE, "LOW")</f>
        <v>HIGH</v>
      </c>
      <c r="N61" s="5">
        <f>_xlfn.XLOOKUP(TransactionsTable[[#This Row],[customer_id]],Table4[customer_id],Table4[risk_score])</f>
        <v>0</v>
      </c>
    </row>
    <row r="62" spans="1:14">
      <c r="A62" s="14" t="s">
        <v>127</v>
      </c>
      <c r="B62" s="15">
        <v>46091.183425925927</v>
      </c>
      <c r="C62" s="14" t="s">
        <v>37</v>
      </c>
      <c r="D62" s="14" t="s">
        <v>54</v>
      </c>
      <c r="E62" s="14">
        <v>9306</v>
      </c>
      <c r="F62" s="14" t="s">
        <v>68</v>
      </c>
      <c r="G62" s="14">
        <v>1</v>
      </c>
      <c r="H62" s="14" t="s">
        <v>12</v>
      </c>
      <c r="I62" s="5" t="str">
        <f>_xlfn.XLOOKUP(C62, CustomersTable[customer_id], CustomersTable[customer_segment])</f>
        <v>Retail</v>
      </c>
      <c r="J62" s="5" t="str">
        <f>_xlfn.XLOOKUP(D62,ChannelsTable[channel_id],ChannelsTable[channel_name])</f>
        <v>MOBILE</v>
      </c>
      <c r="K62" s="5">
        <f>_xlfn.XLOOKUP(C62, CustomersTable[customer_id], CustomersTable[account_age_days])</f>
        <v>10</v>
      </c>
      <c r="L6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62" s="5" t="str" cm="1">
        <f t="array" ref="M62">_xlfn.IFS(AND(L62="HIGH_RISK", OR(I62="VIP", I62="Corporate")), "URGENT",AND(L62="HIGH_RISK", I62="Retail"), "HIGH",F62="DECLINED", "MEDIUM",TRUE, "LOW")</f>
        <v>HIGH</v>
      </c>
      <c r="N62" s="5">
        <f>_xlfn.XLOOKUP(TransactionsTable[[#This Row],[customer_id]],Table4[customer_id],Table4[risk_score])</f>
        <v>0</v>
      </c>
    </row>
    <row r="63" spans="1:14">
      <c r="A63" s="14" t="s">
        <v>128</v>
      </c>
      <c r="B63" s="15">
        <v>46091.352534722224</v>
      </c>
      <c r="C63" s="14" t="s">
        <v>39</v>
      </c>
      <c r="D63" s="14" t="s">
        <v>54</v>
      </c>
      <c r="E63" s="14">
        <v>1744</v>
      </c>
      <c r="F63" s="14" t="s">
        <v>66</v>
      </c>
      <c r="G63" s="14">
        <v>0</v>
      </c>
      <c r="H63" s="14" t="s">
        <v>11</v>
      </c>
      <c r="I63" s="5" t="str">
        <f>_xlfn.XLOOKUP(C63, CustomersTable[customer_id], CustomersTable[customer_segment])</f>
        <v>Retail</v>
      </c>
      <c r="J63" s="5" t="str">
        <f>_xlfn.XLOOKUP(D63,ChannelsTable[channel_id],ChannelsTable[channel_name])</f>
        <v>MOBILE</v>
      </c>
      <c r="K63" s="5">
        <f>_xlfn.XLOOKUP(C63, CustomersTable[customer_id], CustomersTable[account_age_days])</f>
        <v>544</v>
      </c>
      <c r="L6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3" s="5" t="str" cm="1">
        <f t="array" ref="M63">_xlfn.IFS(AND(L63="HIGH_RISK", OR(I63="VIP", I63="Corporate")), "URGENT",AND(L63="HIGH_RISK", I63="Retail"), "HIGH",F63="DECLINED", "MEDIUM",TRUE, "LOW")</f>
        <v>LOW</v>
      </c>
      <c r="N63" s="5">
        <f>_xlfn.XLOOKUP(TransactionsTable[[#This Row],[customer_id]],Table4[customer_id],Table4[risk_score])</f>
        <v>0</v>
      </c>
    </row>
    <row r="64" spans="1:14">
      <c r="A64" s="14" t="s">
        <v>129</v>
      </c>
      <c r="B64" s="15">
        <v>46091.765532407408</v>
      </c>
      <c r="C64" s="14" t="s">
        <v>39</v>
      </c>
      <c r="D64" s="14" t="s">
        <v>48</v>
      </c>
      <c r="E64" s="14">
        <v>3118</v>
      </c>
      <c r="F64" s="14" t="s">
        <v>66</v>
      </c>
      <c r="G64" s="14">
        <v>0</v>
      </c>
      <c r="H64" s="14" t="s">
        <v>11</v>
      </c>
      <c r="I64" s="5" t="str">
        <f>_xlfn.XLOOKUP(C64, CustomersTable[customer_id], CustomersTable[customer_segment])</f>
        <v>Retail</v>
      </c>
      <c r="J64" s="5" t="str">
        <f>_xlfn.XLOOKUP(D64,ChannelsTable[channel_id],ChannelsTable[channel_name])</f>
        <v>ATM</v>
      </c>
      <c r="K64" s="5">
        <f>_xlfn.XLOOKUP(C64, CustomersTable[customer_id], CustomersTable[account_age_days])</f>
        <v>544</v>
      </c>
      <c r="L6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4" s="5" t="str" cm="1">
        <f t="array" ref="M64">_xlfn.IFS(AND(L64="HIGH_RISK", OR(I64="VIP", I64="Corporate")), "URGENT",AND(L64="HIGH_RISK", I64="Retail"), "HIGH",F64="DECLINED", "MEDIUM",TRUE, "LOW")</f>
        <v>LOW</v>
      </c>
      <c r="N64" s="5">
        <f>_xlfn.XLOOKUP(TransactionsTable[[#This Row],[customer_id]],Table4[customer_id],Table4[risk_score])</f>
        <v>0</v>
      </c>
    </row>
    <row r="65" spans="1:14">
      <c r="A65" s="14" t="s">
        <v>130</v>
      </c>
      <c r="B65" s="15">
        <v>46092.046053240738</v>
      </c>
      <c r="C65" s="14" t="s">
        <v>45</v>
      </c>
      <c r="D65" s="14" t="s">
        <v>54</v>
      </c>
      <c r="E65" s="14">
        <v>2842</v>
      </c>
      <c r="F65" s="14" t="s">
        <v>66</v>
      </c>
      <c r="G65" s="14">
        <v>1</v>
      </c>
      <c r="H65" s="14" t="s">
        <v>11</v>
      </c>
      <c r="I65" s="5" t="str">
        <f>_xlfn.XLOOKUP(C65, CustomersTable[customer_id], CustomersTable[customer_segment])</f>
        <v>VIP</v>
      </c>
      <c r="J65" s="5" t="str">
        <f>_xlfn.XLOOKUP(D65,ChannelsTable[channel_id],ChannelsTable[channel_name])</f>
        <v>MOBILE</v>
      </c>
      <c r="K65" s="5">
        <f>_xlfn.XLOOKUP(C65, CustomersTable[customer_id], CustomersTable[account_age_days])</f>
        <v>1671</v>
      </c>
      <c r="L6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5" s="5" t="str" cm="1">
        <f t="array" ref="M65">_xlfn.IFS(AND(L65="HIGH_RISK", OR(I65="VIP", I65="Corporate")), "URGENT",AND(L65="HIGH_RISK", I65="Retail"), "HIGH",F65="DECLINED", "MEDIUM",TRUE, "LOW")</f>
        <v>LOW</v>
      </c>
      <c r="N65" s="5">
        <f>_xlfn.XLOOKUP(TransactionsTable[[#This Row],[customer_id]],Table4[customer_id],Table4[risk_score])</f>
        <v>0</v>
      </c>
    </row>
    <row r="66" spans="1:14">
      <c r="A66" s="14" t="s">
        <v>131</v>
      </c>
      <c r="B66" s="15">
        <v>46092.170624999999</v>
      </c>
      <c r="C66" s="14" t="s">
        <v>42</v>
      </c>
      <c r="D66" s="14" t="s">
        <v>48</v>
      </c>
      <c r="E66" s="14">
        <v>13255</v>
      </c>
      <c r="F66" s="14" t="s">
        <v>68</v>
      </c>
      <c r="G66" s="14">
        <v>1</v>
      </c>
      <c r="H66" s="14" t="s">
        <v>9</v>
      </c>
      <c r="I66" s="5" t="str">
        <f>_xlfn.XLOOKUP(C66, CustomersTable[customer_id], CustomersTable[customer_segment])</f>
        <v>Retail</v>
      </c>
      <c r="J66" s="5" t="str">
        <f>_xlfn.XLOOKUP(D66,ChannelsTable[channel_id],ChannelsTable[channel_name])</f>
        <v>ATM</v>
      </c>
      <c r="K66" s="5">
        <f>_xlfn.XLOOKUP(C66, CustomersTable[customer_id], CustomersTable[account_age_days])</f>
        <v>360</v>
      </c>
      <c r="L6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66" s="5" t="str" cm="1">
        <f t="array" ref="M66">_xlfn.IFS(AND(L66="HIGH_RISK", OR(I66="VIP", I66="Corporate")), "URGENT",AND(L66="HIGH_RISK", I66="Retail"), "HIGH",F66="DECLINED", "MEDIUM",TRUE, "LOW")</f>
        <v>HIGH</v>
      </c>
      <c r="N66" s="5">
        <f>_xlfn.XLOOKUP(TransactionsTable[[#This Row],[customer_id]],Table4[customer_id],Table4[risk_score])</f>
        <v>1</v>
      </c>
    </row>
    <row r="67" spans="1:14">
      <c r="A67" s="14" t="s">
        <v>132</v>
      </c>
      <c r="B67" s="15">
        <v>46092.179675925923</v>
      </c>
      <c r="C67" s="14" t="s">
        <v>32</v>
      </c>
      <c r="D67" s="14" t="s">
        <v>52</v>
      </c>
      <c r="E67" s="14">
        <v>13179</v>
      </c>
      <c r="F67" s="14" t="s">
        <v>68</v>
      </c>
      <c r="G67" s="14">
        <v>1</v>
      </c>
      <c r="H67" s="14" t="s">
        <v>9</v>
      </c>
      <c r="I67" s="5" t="str">
        <f>_xlfn.XLOOKUP(C67, CustomersTable[customer_id], CustomersTable[customer_segment])</f>
        <v>Retail</v>
      </c>
      <c r="J67" s="5" t="str">
        <f>_xlfn.XLOOKUP(D67,ChannelsTable[channel_id],ChannelsTable[channel_name])</f>
        <v>ONLINE</v>
      </c>
      <c r="K67" s="5">
        <f>_xlfn.XLOOKUP(C67, CustomersTable[customer_id], CustomersTable[account_age_days])</f>
        <v>8</v>
      </c>
      <c r="L6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67" s="5" t="str" cm="1">
        <f t="array" ref="M67">_xlfn.IFS(AND(L67="HIGH_RISK", OR(I67="VIP", I67="Corporate")), "URGENT",AND(L67="HIGH_RISK", I67="Retail"), "HIGH",F67="DECLINED", "MEDIUM",TRUE, "LOW")</f>
        <v>HIGH</v>
      </c>
      <c r="N67" s="5">
        <f>_xlfn.XLOOKUP(TransactionsTable[[#This Row],[customer_id]],Table4[customer_id],Table4[risk_score])</f>
        <v>2</v>
      </c>
    </row>
    <row r="68" spans="1:14">
      <c r="A68" s="14" t="s">
        <v>133</v>
      </c>
      <c r="B68" s="15">
        <v>46092.522476851853</v>
      </c>
      <c r="C68" s="14" t="s">
        <v>22</v>
      </c>
      <c r="D68" s="14" t="s">
        <v>54</v>
      </c>
      <c r="E68" s="14">
        <v>2724</v>
      </c>
      <c r="F68" s="14" t="s">
        <v>66</v>
      </c>
      <c r="G68" s="14">
        <v>0</v>
      </c>
      <c r="H68" s="14" t="s">
        <v>12</v>
      </c>
      <c r="I68" s="5" t="str">
        <f>_xlfn.XLOOKUP(C68, CustomersTable[customer_id], CustomersTable[customer_segment])</f>
        <v>VIP</v>
      </c>
      <c r="J68" s="5" t="str">
        <f>_xlfn.XLOOKUP(D68,ChannelsTable[channel_id],ChannelsTable[channel_name])</f>
        <v>MOBILE</v>
      </c>
      <c r="K68" s="5">
        <f>_xlfn.XLOOKUP(C68, CustomersTable[customer_id], CustomersTable[account_age_days])</f>
        <v>1200</v>
      </c>
      <c r="L6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8" s="5" t="str" cm="1">
        <f t="array" ref="M68">_xlfn.IFS(AND(L68="HIGH_RISK", OR(I68="VIP", I68="Corporate")), "URGENT",AND(L68="HIGH_RISK", I68="Retail"), "HIGH",F68="DECLINED", "MEDIUM",TRUE, "LOW")</f>
        <v>LOW</v>
      </c>
      <c r="N68" s="5">
        <f>_xlfn.XLOOKUP(TransactionsTable[[#This Row],[customer_id]],Table4[customer_id],Table4[risk_score])</f>
        <v>1</v>
      </c>
    </row>
    <row r="69" spans="1:14">
      <c r="A69" s="14" t="s">
        <v>134</v>
      </c>
      <c r="B69" s="15">
        <v>46092.532372685186</v>
      </c>
      <c r="C69" s="14" t="s">
        <v>32</v>
      </c>
      <c r="D69" s="14" t="s">
        <v>48</v>
      </c>
      <c r="E69" s="14">
        <v>66</v>
      </c>
      <c r="F69" s="14" t="s">
        <v>66</v>
      </c>
      <c r="G69" s="14">
        <v>0</v>
      </c>
      <c r="H69" s="14" t="s">
        <v>12</v>
      </c>
      <c r="I69" s="5" t="str">
        <f>_xlfn.XLOOKUP(C69, CustomersTable[customer_id], CustomersTable[customer_segment])</f>
        <v>Retail</v>
      </c>
      <c r="J69" s="5" t="str">
        <f>_xlfn.XLOOKUP(D69,ChannelsTable[channel_id],ChannelsTable[channel_name])</f>
        <v>ATM</v>
      </c>
      <c r="K69" s="5">
        <f>_xlfn.XLOOKUP(C69, CustomersTable[customer_id], CustomersTable[account_age_days])</f>
        <v>8</v>
      </c>
      <c r="L6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69" s="5" t="str" cm="1">
        <f t="array" ref="M69">_xlfn.IFS(AND(L69="HIGH_RISK", OR(I69="VIP", I69="Corporate")), "URGENT",AND(L69="HIGH_RISK", I69="Retail"), "HIGH",F69="DECLINED", "MEDIUM",TRUE, "LOW")</f>
        <v>LOW</v>
      </c>
      <c r="N69" s="5">
        <f>_xlfn.XLOOKUP(TransactionsTable[[#This Row],[customer_id]],Table4[customer_id],Table4[risk_score])</f>
        <v>2</v>
      </c>
    </row>
    <row r="70" spans="1:14">
      <c r="A70" s="14" t="s">
        <v>135</v>
      </c>
      <c r="B70" s="15">
        <v>46092.867222222223</v>
      </c>
      <c r="C70" s="14" t="s">
        <v>42</v>
      </c>
      <c r="D70" s="14" t="s">
        <v>50</v>
      </c>
      <c r="E70" s="14">
        <v>526</v>
      </c>
      <c r="F70" s="14" t="s">
        <v>66</v>
      </c>
      <c r="G70" s="14">
        <v>0</v>
      </c>
      <c r="H70" s="14" t="s">
        <v>11</v>
      </c>
      <c r="I70" s="5" t="str">
        <f>_xlfn.XLOOKUP(C70, CustomersTable[customer_id], CustomersTable[customer_segment])</f>
        <v>Retail</v>
      </c>
      <c r="J70" s="5" t="str">
        <f>_xlfn.XLOOKUP(D70,ChannelsTable[channel_id],ChannelsTable[channel_name])</f>
        <v>POS</v>
      </c>
      <c r="K70" s="5">
        <f>_xlfn.XLOOKUP(C70, CustomersTable[customer_id], CustomersTable[account_age_days])</f>
        <v>360</v>
      </c>
      <c r="L7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70" s="5" t="str" cm="1">
        <f t="array" ref="M70">_xlfn.IFS(AND(L70="HIGH_RISK", OR(I70="VIP", I70="Corporate")), "URGENT",AND(L70="HIGH_RISK", I70="Retail"), "HIGH",F70="DECLINED", "MEDIUM",TRUE, "LOW")</f>
        <v>LOW</v>
      </c>
      <c r="N70" s="5">
        <f>_xlfn.XLOOKUP(TransactionsTable[[#This Row],[customer_id]],Table4[customer_id],Table4[risk_score])</f>
        <v>1</v>
      </c>
    </row>
    <row r="71" spans="1:14">
      <c r="A71" s="14" t="s">
        <v>136</v>
      </c>
      <c r="B71" s="15">
        <v>46092.958738425928</v>
      </c>
      <c r="C71" s="14" t="s">
        <v>27</v>
      </c>
      <c r="D71" s="14" t="s">
        <v>54</v>
      </c>
      <c r="E71" s="14">
        <v>17750</v>
      </c>
      <c r="F71" s="14" t="s">
        <v>68</v>
      </c>
      <c r="G71" s="14">
        <v>1</v>
      </c>
      <c r="H71" s="14" t="s">
        <v>12</v>
      </c>
      <c r="I71" s="5" t="str">
        <f>_xlfn.XLOOKUP(C71, CustomersTable[customer_id], CustomersTable[customer_segment])</f>
        <v>Retail</v>
      </c>
      <c r="J71" s="5" t="str">
        <f>_xlfn.XLOOKUP(D71,ChannelsTable[channel_id],ChannelsTable[channel_name])</f>
        <v>MOBILE</v>
      </c>
      <c r="K71" s="5">
        <f>_xlfn.XLOOKUP(C71, CustomersTable[customer_id], CustomersTable[account_age_days])</f>
        <v>15</v>
      </c>
      <c r="L7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71" s="5" t="str" cm="1">
        <f t="array" ref="M71">_xlfn.IFS(AND(L71="HIGH_RISK", OR(I71="VIP", I71="Corporate")), "URGENT",AND(L71="HIGH_RISK", I71="Retail"), "HIGH",F71="DECLINED", "MEDIUM",TRUE, "LOW")</f>
        <v>HIGH</v>
      </c>
      <c r="N71" s="5">
        <f>_xlfn.XLOOKUP(TransactionsTable[[#This Row],[customer_id]],Table4[customer_id],Table4[risk_score])</f>
        <v>3</v>
      </c>
    </row>
    <row r="72" spans="1:14">
      <c r="A72" s="14" t="s">
        <v>137</v>
      </c>
      <c r="B72" s="15">
        <v>46092.963831018518</v>
      </c>
      <c r="C72" s="14" t="s">
        <v>22</v>
      </c>
      <c r="D72" s="14" t="s">
        <v>50</v>
      </c>
      <c r="E72" s="14">
        <v>3849</v>
      </c>
      <c r="F72" s="14" t="s">
        <v>66</v>
      </c>
      <c r="G72" s="14">
        <v>1</v>
      </c>
      <c r="H72" s="14" t="s">
        <v>12</v>
      </c>
      <c r="I72" s="5" t="str">
        <f>_xlfn.XLOOKUP(C72, CustomersTable[customer_id], CustomersTable[customer_segment])</f>
        <v>VIP</v>
      </c>
      <c r="J72" s="5" t="str">
        <f>_xlfn.XLOOKUP(D72,ChannelsTable[channel_id],ChannelsTable[channel_name])</f>
        <v>POS</v>
      </c>
      <c r="K72" s="5">
        <f>_xlfn.XLOOKUP(C72, CustomersTable[customer_id], CustomersTable[account_age_days])</f>
        <v>1200</v>
      </c>
      <c r="L7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72" s="5" t="str" cm="1">
        <f t="array" ref="M72">_xlfn.IFS(AND(L72="HIGH_RISK", OR(I72="VIP", I72="Corporate")), "URGENT",AND(L72="HIGH_RISK", I72="Retail"), "HIGH",F72="DECLINED", "MEDIUM",TRUE, "LOW")</f>
        <v>URGENT</v>
      </c>
      <c r="N72" s="5">
        <f>_xlfn.XLOOKUP(TransactionsTable[[#This Row],[customer_id]],Table4[customer_id],Table4[risk_score])</f>
        <v>1</v>
      </c>
    </row>
    <row r="73" spans="1:14">
      <c r="A73" s="14" t="s">
        <v>138</v>
      </c>
      <c r="B73" s="15">
        <v>46093.042870370373</v>
      </c>
      <c r="C73" s="14" t="s">
        <v>22</v>
      </c>
      <c r="D73" s="14" t="s">
        <v>52</v>
      </c>
      <c r="E73" s="14">
        <v>3667</v>
      </c>
      <c r="F73" s="14" t="s">
        <v>66</v>
      </c>
      <c r="G73" s="14">
        <v>1</v>
      </c>
      <c r="H73" s="14" t="s">
        <v>12</v>
      </c>
      <c r="I73" s="5" t="str">
        <f>_xlfn.XLOOKUP(C73, CustomersTable[customer_id], CustomersTable[customer_segment])</f>
        <v>VIP</v>
      </c>
      <c r="J73" s="5" t="str">
        <f>_xlfn.XLOOKUP(D73,ChannelsTable[channel_id],ChannelsTable[channel_name])</f>
        <v>ONLINE</v>
      </c>
      <c r="K73" s="5">
        <f>_xlfn.XLOOKUP(C73, CustomersTable[customer_id], CustomersTable[account_age_days])</f>
        <v>1200</v>
      </c>
      <c r="L7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73" s="5" t="str" cm="1">
        <f t="array" ref="M73">_xlfn.IFS(AND(L73="HIGH_RISK", OR(I73="VIP", I73="Corporate")), "URGENT",AND(L73="HIGH_RISK", I73="Retail"), "HIGH",F73="DECLINED", "MEDIUM",TRUE, "LOW")</f>
        <v>URGENT</v>
      </c>
      <c r="N73" s="5">
        <f>_xlfn.XLOOKUP(TransactionsTable[[#This Row],[customer_id]],Table4[customer_id],Table4[risk_score])</f>
        <v>1</v>
      </c>
    </row>
    <row r="74" spans="1:14">
      <c r="A74" s="14" t="s">
        <v>139</v>
      </c>
      <c r="B74" s="15">
        <v>46093.063611111109</v>
      </c>
      <c r="C74" s="14" t="s">
        <v>40</v>
      </c>
      <c r="D74" s="14" t="s">
        <v>54</v>
      </c>
      <c r="E74" s="14">
        <v>6351</v>
      </c>
      <c r="F74" s="14" t="s">
        <v>68</v>
      </c>
      <c r="G74" s="14">
        <v>1</v>
      </c>
      <c r="H74" s="14" t="s">
        <v>9</v>
      </c>
      <c r="I74" s="5" t="str">
        <f>_xlfn.XLOOKUP(C74, CustomersTable[customer_id], CustomersTable[customer_segment])</f>
        <v>VIP</v>
      </c>
      <c r="J74" s="5" t="str">
        <f>_xlfn.XLOOKUP(D74,ChannelsTable[channel_id],ChannelsTable[channel_name])</f>
        <v>MOBILE</v>
      </c>
      <c r="K74" s="5">
        <f>_xlfn.XLOOKUP(C74, CustomersTable[customer_id], CustomersTable[account_age_days])</f>
        <v>1560</v>
      </c>
      <c r="L7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74" s="5" t="str" cm="1">
        <f t="array" ref="M74">_xlfn.IFS(AND(L74="HIGH_RISK", OR(I74="VIP", I74="Corporate")), "URGENT",AND(L74="HIGH_RISK", I74="Retail"), "HIGH",F74="DECLINED", "MEDIUM",TRUE, "LOW")</f>
        <v>URGENT</v>
      </c>
      <c r="N74" s="5">
        <f>_xlfn.XLOOKUP(TransactionsTable[[#This Row],[customer_id]],Table4[customer_id],Table4[risk_score])</f>
        <v>0</v>
      </c>
    </row>
    <row r="75" spans="1:14">
      <c r="A75" s="14" t="s">
        <v>140</v>
      </c>
      <c r="B75" s="15">
        <v>46093.452870370369</v>
      </c>
      <c r="C75" s="14" t="s">
        <v>35</v>
      </c>
      <c r="D75" s="14" t="s">
        <v>52</v>
      </c>
      <c r="E75" s="14">
        <v>1282</v>
      </c>
      <c r="F75" s="14" t="s">
        <v>66</v>
      </c>
      <c r="G75" s="14">
        <v>0</v>
      </c>
      <c r="H75" s="14" t="s">
        <v>11</v>
      </c>
      <c r="I75" s="5" t="str">
        <f>_xlfn.XLOOKUP(C75, CustomersTable[customer_id], CustomersTable[customer_segment])</f>
        <v>VIP</v>
      </c>
      <c r="J75" s="5" t="str">
        <f>_xlfn.XLOOKUP(D75,ChannelsTable[channel_id],ChannelsTable[channel_name])</f>
        <v>ONLINE</v>
      </c>
      <c r="K75" s="5">
        <f>_xlfn.XLOOKUP(C75, CustomersTable[customer_id], CustomersTable[account_age_days])</f>
        <v>950</v>
      </c>
      <c r="L7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75" s="5" t="str" cm="1">
        <f t="array" ref="M75">_xlfn.IFS(AND(L75="HIGH_RISK", OR(I75="VIP", I75="Corporate")), "URGENT",AND(L75="HIGH_RISK", I75="Retail"), "HIGH",F75="DECLINED", "MEDIUM",TRUE, "LOW")</f>
        <v>LOW</v>
      </c>
      <c r="N75" s="5">
        <f>_xlfn.XLOOKUP(TransactionsTable[[#This Row],[customer_id]],Table4[customer_id],Table4[risk_score])</f>
        <v>1</v>
      </c>
    </row>
    <row r="76" spans="1:14">
      <c r="A76" s="14" t="s">
        <v>141</v>
      </c>
      <c r="B76" s="15">
        <v>46093.488865740743</v>
      </c>
      <c r="C76" s="14" t="s">
        <v>34</v>
      </c>
      <c r="D76" s="14" t="s">
        <v>48</v>
      </c>
      <c r="E76" s="14">
        <v>1815</v>
      </c>
      <c r="F76" s="14" t="s">
        <v>66</v>
      </c>
      <c r="G76" s="14">
        <v>0</v>
      </c>
      <c r="H76" s="14" t="s">
        <v>9</v>
      </c>
      <c r="I76" s="5" t="str">
        <f>_xlfn.XLOOKUP(C76, CustomersTable[customer_id], CustomersTable[customer_segment])</f>
        <v>Retail</v>
      </c>
      <c r="J76" s="5" t="str">
        <f>_xlfn.XLOOKUP(D76,ChannelsTable[channel_id],ChannelsTable[channel_name])</f>
        <v>ATM</v>
      </c>
      <c r="K76" s="5">
        <f>_xlfn.XLOOKUP(C76, CustomersTable[customer_id], CustomersTable[account_age_days])</f>
        <v>60</v>
      </c>
      <c r="L7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76" s="5" t="str" cm="1">
        <f t="array" ref="M76">_xlfn.IFS(AND(L76="HIGH_RISK", OR(I76="VIP", I76="Corporate")), "URGENT",AND(L76="HIGH_RISK", I76="Retail"), "HIGH",F76="DECLINED", "MEDIUM",TRUE, "LOW")</f>
        <v>LOW</v>
      </c>
      <c r="N76" s="5">
        <f>_xlfn.XLOOKUP(TransactionsTable[[#This Row],[customer_id]],Table4[customer_id],Table4[risk_score])</f>
        <v>3</v>
      </c>
    </row>
    <row r="77" spans="1:14">
      <c r="A77" s="14" t="s">
        <v>142</v>
      </c>
      <c r="B77" s="15">
        <v>46093.599386574075</v>
      </c>
      <c r="C77" s="14" t="s">
        <v>38</v>
      </c>
      <c r="D77" s="14" t="s">
        <v>52</v>
      </c>
      <c r="E77" s="14">
        <v>19604</v>
      </c>
      <c r="F77" s="14" t="s">
        <v>66</v>
      </c>
      <c r="G77" s="14">
        <v>0</v>
      </c>
      <c r="H77" s="14" t="s">
        <v>9</v>
      </c>
      <c r="I77" s="5" t="str">
        <f>_xlfn.XLOOKUP(C77, CustomersTable[customer_id], CustomersTable[customer_segment])</f>
        <v>Corporate</v>
      </c>
      <c r="J77" s="5" t="str">
        <f>_xlfn.XLOOKUP(D77,ChannelsTable[channel_id],ChannelsTable[channel_name])</f>
        <v>ONLINE</v>
      </c>
      <c r="K77" s="5">
        <f>_xlfn.XLOOKUP(C77, CustomersTable[customer_id], CustomersTable[account_age_days])</f>
        <v>762</v>
      </c>
      <c r="L7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77" s="5" t="str" cm="1">
        <f t="array" ref="M77">_xlfn.IFS(AND(L77="HIGH_RISK", OR(I77="VIP", I77="Corporate")), "URGENT",AND(L77="HIGH_RISK", I77="Retail"), "HIGH",F77="DECLINED", "MEDIUM",TRUE, "LOW")</f>
        <v>LOW</v>
      </c>
      <c r="N77" s="5">
        <f>_xlfn.XLOOKUP(TransactionsTable[[#This Row],[customer_id]],Table4[customer_id],Table4[risk_score])</f>
        <v>0</v>
      </c>
    </row>
    <row r="78" spans="1:14">
      <c r="A78" s="14" t="s">
        <v>143</v>
      </c>
      <c r="B78" s="15">
        <v>46093.769108796296</v>
      </c>
      <c r="C78" s="14" t="s">
        <v>27</v>
      </c>
      <c r="D78" s="14" t="s">
        <v>50</v>
      </c>
      <c r="E78" s="14">
        <v>13681</v>
      </c>
      <c r="F78" s="14" t="s">
        <v>66</v>
      </c>
      <c r="G78" s="14">
        <v>0</v>
      </c>
      <c r="H78" s="14" t="s">
        <v>9</v>
      </c>
      <c r="I78" s="5" t="str">
        <f>_xlfn.XLOOKUP(C78, CustomersTable[customer_id], CustomersTable[customer_segment])</f>
        <v>Retail</v>
      </c>
      <c r="J78" s="5" t="str">
        <f>_xlfn.XLOOKUP(D78,ChannelsTable[channel_id],ChannelsTable[channel_name])</f>
        <v>POS</v>
      </c>
      <c r="K78" s="5">
        <f>_xlfn.XLOOKUP(C78, CustomersTable[customer_id], CustomersTable[account_age_days])</f>
        <v>15</v>
      </c>
      <c r="L7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78" s="5" t="str" cm="1">
        <f t="array" ref="M78">_xlfn.IFS(AND(L78="HIGH_RISK", OR(I78="VIP", I78="Corporate")), "URGENT",AND(L78="HIGH_RISK", I78="Retail"), "HIGH",F78="DECLINED", "MEDIUM",TRUE, "LOW")</f>
        <v>LOW</v>
      </c>
      <c r="N78" s="5">
        <f>_xlfn.XLOOKUP(TransactionsTable[[#This Row],[customer_id]],Table4[customer_id],Table4[risk_score])</f>
        <v>3</v>
      </c>
    </row>
    <row r="79" spans="1:14">
      <c r="A79" s="14" t="s">
        <v>144</v>
      </c>
      <c r="B79" s="15">
        <v>46093.784942129627</v>
      </c>
      <c r="C79" s="14" t="s">
        <v>32</v>
      </c>
      <c r="D79" s="14" t="s">
        <v>48</v>
      </c>
      <c r="E79" s="14">
        <v>631</v>
      </c>
      <c r="F79" s="14" t="s">
        <v>66</v>
      </c>
      <c r="G79" s="14">
        <v>0</v>
      </c>
      <c r="H79" s="14" t="s">
        <v>11</v>
      </c>
      <c r="I79" s="5" t="str">
        <f>_xlfn.XLOOKUP(C79, CustomersTable[customer_id], CustomersTable[customer_segment])</f>
        <v>Retail</v>
      </c>
      <c r="J79" s="5" t="str">
        <f>_xlfn.XLOOKUP(D79,ChannelsTable[channel_id],ChannelsTable[channel_name])</f>
        <v>ATM</v>
      </c>
      <c r="K79" s="5">
        <f>_xlfn.XLOOKUP(C79, CustomersTable[customer_id], CustomersTable[account_age_days])</f>
        <v>8</v>
      </c>
      <c r="L7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79" s="5" t="str" cm="1">
        <f t="array" ref="M79">_xlfn.IFS(AND(L79="HIGH_RISK", OR(I79="VIP", I79="Corporate")), "URGENT",AND(L79="HIGH_RISK", I79="Retail"), "HIGH",F79="DECLINED", "MEDIUM",TRUE, "LOW")</f>
        <v>LOW</v>
      </c>
      <c r="N79" s="5">
        <f>_xlfn.XLOOKUP(TransactionsTable[[#This Row],[customer_id]],Table4[customer_id],Table4[risk_score])</f>
        <v>2</v>
      </c>
    </row>
    <row r="80" spans="1:14">
      <c r="A80" s="14" t="s">
        <v>145</v>
      </c>
      <c r="B80" s="15">
        <v>46093.94332175926</v>
      </c>
      <c r="C80" s="14" t="s">
        <v>34</v>
      </c>
      <c r="D80" s="14" t="s">
        <v>50</v>
      </c>
      <c r="E80" s="14">
        <v>170</v>
      </c>
      <c r="F80" s="14" t="s">
        <v>66</v>
      </c>
      <c r="G80" s="14">
        <v>1</v>
      </c>
      <c r="H80" s="14" t="s">
        <v>9</v>
      </c>
      <c r="I80" s="5" t="str">
        <f>_xlfn.XLOOKUP(C80, CustomersTable[customer_id], CustomersTable[customer_segment])</f>
        <v>Retail</v>
      </c>
      <c r="J80" s="5" t="str">
        <f>_xlfn.XLOOKUP(D80,ChannelsTable[channel_id],ChannelsTable[channel_name])</f>
        <v>POS</v>
      </c>
      <c r="K80" s="5">
        <f>_xlfn.XLOOKUP(C80, CustomersTable[customer_id], CustomersTable[account_age_days])</f>
        <v>60</v>
      </c>
      <c r="L8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0" s="5" t="str" cm="1">
        <f t="array" ref="M80">_xlfn.IFS(AND(L80="HIGH_RISK", OR(I80="VIP", I80="Corporate")), "URGENT",AND(L80="HIGH_RISK", I80="Retail"), "HIGH",F80="DECLINED", "MEDIUM",TRUE, "LOW")</f>
        <v>LOW</v>
      </c>
      <c r="N80" s="5">
        <f>_xlfn.XLOOKUP(TransactionsTable[[#This Row],[customer_id]],Table4[customer_id],Table4[risk_score])</f>
        <v>3</v>
      </c>
    </row>
    <row r="81" spans="1:14">
      <c r="A81" s="14" t="s">
        <v>146</v>
      </c>
      <c r="B81" s="15">
        <v>46094.065509259257</v>
      </c>
      <c r="C81" s="14" t="s">
        <v>34</v>
      </c>
      <c r="D81" s="14" t="s">
        <v>52</v>
      </c>
      <c r="E81" s="14">
        <v>2843</v>
      </c>
      <c r="F81" s="14" t="s">
        <v>68</v>
      </c>
      <c r="G81" s="14">
        <v>1</v>
      </c>
      <c r="H81" s="14" t="s">
        <v>10</v>
      </c>
      <c r="I81" s="5" t="str">
        <f>_xlfn.XLOOKUP(C81, CustomersTable[customer_id], CustomersTable[customer_segment])</f>
        <v>Retail</v>
      </c>
      <c r="J81" s="5" t="str">
        <f>_xlfn.XLOOKUP(D81,ChannelsTable[channel_id],ChannelsTable[channel_name])</f>
        <v>ONLINE</v>
      </c>
      <c r="K81" s="5">
        <f>_xlfn.XLOOKUP(C81, CustomersTable[customer_id], CustomersTable[account_age_days])</f>
        <v>60</v>
      </c>
      <c r="L8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81" s="5" t="str" cm="1">
        <f t="array" ref="M81">_xlfn.IFS(AND(L81="HIGH_RISK", OR(I81="VIP", I81="Corporate")), "URGENT",AND(L81="HIGH_RISK", I81="Retail"), "HIGH",F81="DECLINED", "MEDIUM",TRUE, "LOW")</f>
        <v>HIGH</v>
      </c>
      <c r="N81" s="5">
        <f>_xlfn.XLOOKUP(TransactionsTable[[#This Row],[customer_id]],Table4[customer_id],Table4[risk_score])</f>
        <v>3</v>
      </c>
    </row>
    <row r="82" spans="1:14">
      <c r="A82" s="14" t="s">
        <v>147</v>
      </c>
      <c r="B82" s="15">
        <v>46094.198460648149</v>
      </c>
      <c r="C82" s="14" t="s">
        <v>43</v>
      </c>
      <c r="D82" s="14" t="s">
        <v>48</v>
      </c>
      <c r="E82" s="14">
        <v>7699</v>
      </c>
      <c r="F82" s="14" t="s">
        <v>68</v>
      </c>
      <c r="G82" s="14">
        <v>1</v>
      </c>
      <c r="H82" s="14" t="s">
        <v>9</v>
      </c>
      <c r="I82" s="5" t="str">
        <f>_xlfn.XLOOKUP(C82, CustomersTable[customer_id], CustomersTable[customer_segment])</f>
        <v>Retail</v>
      </c>
      <c r="J82" s="5" t="str">
        <f>_xlfn.XLOOKUP(D82,ChannelsTable[channel_id],ChannelsTable[channel_name])</f>
        <v>ATM</v>
      </c>
      <c r="K82" s="5">
        <f>_xlfn.XLOOKUP(C82, CustomersTable[customer_id], CustomersTable[account_age_days])</f>
        <v>442</v>
      </c>
      <c r="L8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82" s="5" t="str" cm="1">
        <f t="array" ref="M82">_xlfn.IFS(AND(L82="HIGH_RISK", OR(I82="VIP", I82="Corporate")), "URGENT",AND(L82="HIGH_RISK", I82="Retail"), "HIGH",F82="DECLINED", "MEDIUM",TRUE, "LOW")</f>
        <v>HIGH</v>
      </c>
      <c r="N82" s="5">
        <f>_xlfn.XLOOKUP(TransactionsTable[[#This Row],[customer_id]],Table4[customer_id],Table4[risk_score])</f>
        <v>1</v>
      </c>
    </row>
    <row r="83" spans="1:14">
      <c r="A83" s="14" t="s">
        <v>148</v>
      </c>
      <c r="B83" s="15">
        <v>46094.205462962964</v>
      </c>
      <c r="C83" s="14" t="s">
        <v>26</v>
      </c>
      <c r="D83" s="14" t="s">
        <v>54</v>
      </c>
      <c r="E83" s="14">
        <v>409</v>
      </c>
      <c r="F83" s="14" t="s">
        <v>66</v>
      </c>
      <c r="G83" s="14">
        <v>1</v>
      </c>
      <c r="H83" s="14" t="s">
        <v>10</v>
      </c>
      <c r="I83" s="5" t="str">
        <f>_xlfn.XLOOKUP(C83, CustomersTable[customer_id], CustomersTable[customer_segment])</f>
        <v>Corporate</v>
      </c>
      <c r="J83" s="5" t="str">
        <f>_xlfn.XLOOKUP(D83,ChannelsTable[channel_id],ChannelsTable[channel_name])</f>
        <v>MOBILE</v>
      </c>
      <c r="K83" s="5">
        <f>_xlfn.XLOOKUP(C83, CustomersTable[customer_id], CustomersTable[account_age_days])</f>
        <v>890</v>
      </c>
      <c r="L8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3" s="5" t="str" cm="1">
        <f t="array" ref="M83">_xlfn.IFS(AND(L83="HIGH_RISK", OR(I83="VIP", I83="Corporate")), "URGENT",AND(L83="HIGH_RISK", I83="Retail"), "HIGH",F83="DECLINED", "MEDIUM",TRUE, "LOW")</f>
        <v>LOW</v>
      </c>
      <c r="N83" s="5">
        <f>_xlfn.XLOOKUP(TransactionsTable[[#This Row],[customer_id]],Table4[customer_id],Table4[risk_score])</f>
        <v>0</v>
      </c>
    </row>
    <row r="84" spans="1:14">
      <c r="A84" s="14" t="s">
        <v>149</v>
      </c>
      <c r="B84" s="15">
        <v>46094.563402777778</v>
      </c>
      <c r="C84" s="14" t="s">
        <v>43</v>
      </c>
      <c r="D84" s="14" t="s">
        <v>54</v>
      </c>
      <c r="E84" s="14">
        <v>427</v>
      </c>
      <c r="F84" s="14" t="s">
        <v>68</v>
      </c>
      <c r="G84" s="14">
        <v>0</v>
      </c>
      <c r="H84" s="14" t="s">
        <v>9</v>
      </c>
      <c r="I84" s="5" t="str">
        <f>_xlfn.XLOOKUP(C84, CustomersTable[customer_id], CustomersTable[customer_segment])</f>
        <v>Retail</v>
      </c>
      <c r="J84" s="5" t="str">
        <f>_xlfn.XLOOKUP(D84,ChannelsTable[channel_id],ChannelsTable[channel_name])</f>
        <v>MOBILE</v>
      </c>
      <c r="K84" s="5">
        <f>_xlfn.XLOOKUP(C84, CustomersTable[customer_id], CustomersTable[account_age_days])</f>
        <v>442</v>
      </c>
      <c r="L8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4" s="5" t="str" cm="1">
        <f t="array" ref="M84">_xlfn.IFS(AND(L84="HIGH_RISK", OR(I84="VIP", I84="Corporate")), "URGENT",AND(L84="HIGH_RISK", I84="Retail"), "HIGH",F84="DECLINED", "MEDIUM",TRUE, "LOW")</f>
        <v>MEDIUM</v>
      </c>
      <c r="N84" s="5">
        <f>_xlfn.XLOOKUP(TransactionsTable[[#This Row],[customer_id]],Table4[customer_id],Table4[risk_score])</f>
        <v>1</v>
      </c>
    </row>
    <row r="85" spans="1:14">
      <c r="A85" s="14" t="s">
        <v>150</v>
      </c>
      <c r="B85" s="15">
        <v>46094.603831018518</v>
      </c>
      <c r="C85" s="14" t="s">
        <v>34</v>
      </c>
      <c r="D85" s="14" t="s">
        <v>52</v>
      </c>
      <c r="E85" s="14">
        <v>1420</v>
      </c>
      <c r="F85" s="14" t="s">
        <v>66</v>
      </c>
      <c r="G85" s="14">
        <v>0</v>
      </c>
      <c r="H85" s="14" t="s">
        <v>8</v>
      </c>
      <c r="I85" s="5" t="str">
        <f>_xlfn.XLOOKUP(C85, CustomersTable[customer_id], CustomersTable[customer_segment])</f>
        <v>Retail</v>
      </c>
      <c r="J85" s="5" t="str">
        <f>_xlfn.XLOOKUP(D85,ChannelsTable[channel_id],ChannelsTable[channel_name])</f>
        <v>ONLINE</v>
      </c>
      <c r="K85" s="5">
        <f>_xlfn.XLOOKUP(C85, CustomersTable[customer_id], CustomersTable[account_age_days])</f>
        <v>60</v>
      </c>
      <c r="L8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5" s="5" t="str" cm="1">
        <f t="array" ref="M85">_xlfn.IFS(AND(L85="HIGH_RISK", OR(I85="VIP", I85="Corporate")), "URGENT",AND(L85="HIGH_RISK", I85="Retail"), "HIGH",F85="DECLINED", "MEDIUM",TRUE, "LOW")</f>
        <v>LOW</v>
      </c>
      <c r="N85" s="5">
        <f>_xlfn.XLOOKUP(TransactionsTable[[#This Row],[customer_id]],Table4[customer_id],Table4[risk_score])</f>
        <v>3</v>
      </c>
    </row>
    <row r="86" spans="1:14">
      <c r="A86" s="14" t="s">
        <v>151</v>
      </c>
      <c r="B86" s="15">
        <v>46094.908206018517</v>
      </c>
      <c r="C86" s="14" t="s">
        <v>41</v>
      </c>
      <c r="D86" s="14" t="s">
        <v>48</v>
      </c>
      <c r="E86" s="14">
        <v>154</v>
      </c>
      <c r="F86" s="14" t="s">
        <v>66</v>
      </c>
      <c r="G86" s="14">
        <v>0</v>
      </c>
      <c r="H86" s="14" t="s">
        <v>12</v>
      </c>
      <c r="I86" s="5" t="str">
        <f>_xlfn.XLOOKUP(C86, CustomersTable[customer_id], CustomersTable[customer_segment])</f>
        <v>VIP</v>
      </c>
      <c r="J86" s="5" t="str">
        <f>_xlfn.XLOOKUP(D86,ChannelsTable[channel_id],ChannelsTable[channel_name])</f>
        <v>ATM</v>
      </c>
      <c r="K86" s="5">
        <f>_xlfn.XLOOKUP(C86, CustomersTable[customer_id], CustomersTable[account_age_days])</f>
        <v>845</v>
      </c>
      <c r="L8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6" s="5" t="str" cm="1">
        <f t="array" ref="M86">_xlfn.IFS(AND(L86="HIGH_RISK", OR(I86="VIP", I86="Corporate")), "URGENT",AND(L86="HIGH_RISK", I86="Retail"), "HIGH",F86="DECLINED", "MEDIUM",TRUE, "LOW")</f>
        <v>LOW</v>
      </c>
      <c r="N86" s="5">
        <f>_xlfn.XLOOKUP(TransactionsTable[[#This Row],[customer_id]],Table4[customer_id],Table4[risk_score])</f>
        <v>0</v>
      </c>
    </row>
    <row r="87" spans="1:14">
      <c r="A87" s="14" t="s">
        <v>152</v>
      </c>
      <c r="B87" s="15">
        <v>46094.918576388889</v>
      </c>
      <c r="C87" s="14" t="s">
        <v>45</v>
      </c>
      <c r="D87" s="14" t="s">
        <v>52</v>
      </c>
      <c r="E87" s="14">
        <v>14890</v>
      </c>
      <c r="F87" s="14" t="s">
        <v>66</v>
      </c>
      <c r="G87" s="14">
        <v>1</v>
      </c>
      <c r="H87" s="14" t="s">
        <v>10</v>
      </c>
      <c r="I87" s="5" t="str">
        <f>_xlfn.XLOOKUP(C87, CustomersTable[customer_id], CustomersTable[customer_segment])</f>
        <v>VIP</v>
      </c>
      <c r="J87" s="5" t="str">
        <f>_xlfn.XLOOKUP(D87,ChannelsTable[channel_id],ChannelsTable[channel_name])</f>
        <v>ONLINE</v>
      </c>
      <c r="K87" s="5">
        <f>_xlfn.XLOOKUP(C87, CustomersTable[customer_id], CustomersTable[account_age_days])</f>
        <v>1671</v>
      </c>
      <c r="L8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87" s="5" t="str" cm="1">
        <f t="array" ref="M87">_xlfn.IFS(AND(L87="HIGH_RISK", OR(I87="VIP", I87="Corporate")), "URGENT",AND(L87="HIGH_RISK", I87="Retail"), "HIGH",F87="DECLINED", "MEDIUM",TRUE, "LOW")</f>
        <v>URGENT</v>
      </c>
      <c r="N87" s="5">
        <f>_xlfn.XLOOKUP(TransactionsTable[[#This Row],[customer_id]],Table4[customer_id],Table4[risk_score])</f>
        <v>0</v>
      </c>
    </row>
    <row r="88" spans="1:14">
      <c r="A88" s="14" t="s">
        <v>153</v>
      </c>
      <c r="B88" s="15">
        <v>46095.224456018521</v>
      </c>
      <c r="C88" s="14" t="s">
        <v>40</v>
      </c>
      <c r="D88" s="14" t="s">
        <v>52</v>
      </c>
      <c r="E88" s="14">
        <v>2663</v>
      </c>
      <c r="F88" s="14" t="s">
        <v>66</v>
      </c>
      <c r="G88" s="14">
        <v>1</v>
      </c>
      <c r="H88" s="14" t="s">
        <v>12</v>
      </c>
      <c r="I88" s="5" t="str">
        <f>_xlfn.XLOOKUP(C88, CustomersTable[customer_id], CustomersTable[customer_segment])</f>
        <v>VIP</v>
      </c>
      <c r="J88" s="5" t="str">
        <f>_xlfn.XLOOKUP(D88,ChannelsTable[channel_id],ChannelsTable[channel_name])</f>
        <v>ONLINE</v>
      </c>
      <c r="K88" s="5">
        <f>_xlfn.XLOOKUP(C88, CustomersTable[customer_id], CustomersTable[account_age_days])</f>
        <v>1560</v>
      </c>
      <c r="L8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8" s="5" t="str" cm="1">
        <f t="array" ref="M88">_xlfn.IFS(AND(L88="HIGH_RISK", OR(I88="VIP", I88="Corporate")), "URGENT",AND(L88="HIGH_RISK", I88="Retail"), "HIGH",F88="DECLINED", "MEDIUM",TRUE, "LOW")</f>
        <v>LOW</v>
      </c>
      <c r="N88" s="5">
        <f>_xlfn.XLOOKUP(TransactionsTable[[#This Row],[customer_id]],Table4[customer_id],Table4[risk_score])</f>
        <v>0</v>
      </c>
    </row>
    <row r="89" spans="1:14">
      <c r="A89" s="14" t="s">
        <v>154</v>
      </c>
      <c r="B89" s="15">
        <v>46095.410902777781</v>
      </c>
      <c r="C89" s="14" t="s">
        <v>33</v>
      </c>
      <c r="D89" s="14" t="s">
        <v>50</v>
      </c>
      <c r="E89" s="14">
        <v>316</v>
      </c>
      <c r="F89" s="14" t="s">
        <v>66</v>
      </c>
      <c r="G89" s="14">
        <v>0</v>
      </c>
      <c r="H89" s="14" t="s">
        <v>10</v>
      </c>
      <c r="I89" s="5" t="str">
        <f>_xlfn.XLOOKUP(C89, CustomersTable[customer_id], CustomersTable[customer_segment])</f>
        <v>Corporate</v>
      </c>
      <c r="J89" s="5" t="str">
        <f>_xlfn.XLOOKUP(D89,ChannelsTable[channel_id],ChannelsTable[channel_name])</f>
        <v>POS</v>
      </c>
      <c r="K89" s="5">
        <f>_xlfn.XLOOKUP(C89, CustomersTable[customer_id], CustomersTable[account_age_days])</f>
        <v>1400</v>
      </c>
      <c r="L8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89" s="5" t="str" cm="1">
        <f t="array" ref="M89">_xlfn.IFS(AND(L89="HIGH_RISK", OR(I89="VIP", I89="Corporate")), "URGENT",AND(L89="HIGH_RISK", I89="Retail"), "HIGH",F89="DECLINED", "MEDIUM",TRUE, "LOW")</f>
        <v>LOW</v>
      </c>
      <c r="N89" s="5">
        <f>_xlfn.XLOOKUP(TransactionsTable[[#This Row],[customer_id]],Table4[customer_id],Table4[risk_score])</f>
        <v>0</v>
      </c>
    </row>
    <row r="90" spans="1:14">
      <c r="A90" s="14" t="s">
        <v>155</v>
      </c>
      <c r="B90" s="15">
        <v>46095.414895833332</v>
      </c>
      <c r="C90" s="14" t="s">
        <v>38</v>
      </c>
      <c r="D90" s="14" t="s">
        <v>50</v>
      </c>
      <c r="E90" s="14">
        <v>764</v>
      </c>
      <c r="F90" s="14" t="s">
        <v>66</v>
      </c>
      <c r="G90" s="14">
        <v>0</v>
      </c>
      <c r="H90" s="14" t="s">
        <v>9</v>
      </c>
      <c r="I90" s="5" t="str">
        <f>_xlfn.XLOOKUP(C90, CustomersTable[customer_id], CustomersTable[customer_segment])</f>
        <v>Corporate</v>
      </c>
      <c r="J90" s="5" t="str">
        <f>_xlfn.XLOOKUP(D90,ChannelsTable[channel_id],ChannelsTable[channel_name])</f>
        <v>POS</v>
      </c>
      <c r="K90" s="5">
        <f>_xlfn.XLOOKUP(C90, CustomersTable[customer_id], CustomersTable[account_age_days])</f>
        <v>762</v>
      </c>
      <c r="L9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0" s="5" t="str" cm="1">
        <f t="array" ref="M90">_xlfn.IFS(AND(L90="HIGH_RISK", OR(I90="VIP", I90="Corporate")), "URGENT",AND(L90="HIGH_RISK", I90="Retail"), "HIGH",F90="DECLINED", "MEDIUM",TRUE, "LOW")</f>
        <v>LOW</v>
      </c>
      <c r="N90" s="5">
        <f>_xlfn.XLOOKUP(TransactionsTable[[#This Row],[customer_id]],Table4[customer_id],Table4[risk_score])</f>
        <v>0</v>
      </c>
    </row>
    <row r="91" spans="1:14">
      <c r="A91" s="14" t="s">
        <v>156</v>
      </c>
      <c r="B91" s="15">
        <v>46095.55641203704</v>
      </c>
      <c r="C91" s="14" t="s">
        <v>33</v>
      </c>
      <c r="D91" s="14" t="s">
        <v>50</v>
      </c>
      <c r="E91" s="14">
        <v>7286</v>
      </c>
      <c r="F91" s="14" t="s">
        <v>66</v>
      </c>
      <c r="G91" s="14">
        <v>0</v>
      </c>
      <c r="H91" s="14" t="s">
        <v>11</v>
      </c>
      <c r="I91" s="5" t="str">
        <f>_xlfn.XLOOKUP(C91, CustomersTable[customer_id], CustomersTable[customer_segment])</f>
        <v>Corporate</v>
      </c>
      <c r="J91" s="5" t="str">
        <f>_xlfn.XLOOKUP(D91,ChannelsTable[channel_id],ChannelsTable[channel_name])</f>
        <v>POS</v>
      </c>
      <c r="K91" s="5">
        <f>_xlfn.XLOOKUP(C91, CustomersTable[customer_id], CustomersTable[account_age_days])</f>
        <v>1400</v>
      </c>
      <c r="L9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1" s="5" t="str" cm="1">
        <f t="array" ref="M91">_xlfn.IFS(AND(L91="HIGH_RISK", OR(I91="VIP", I91="Corporate")), "URGENT",AND(L91="HIGH_RISK", I91="Retail"), "HIGH",F91="DECLINED", "MEDIUM",TRUE, "LOW")</f>
        <v>LOW</v>
      </c>
      <c r="N91" s="5">
        <f>_xlfn.XLOOKUP(TransactionsTable[[#This Row],[customer_id]],Table4[customer_id],Table4[risk_score])</f>
        <v>0</v>
      </c>
    </row>
    <row r="92" spans="1:14">
      <c r="A92" s="14" t="s">
        <v>157</v>
      </c>
      <c r="B92" s="15">
        <v>46095.626712962963</v>
      </c>
      <c r="C92" s="14" t="s">
        <v>31</v>
      </c>
      <c r="D92" s="14" t="s">
        <v>52</v>
      </c>
      <c r="E92" s="14">
        <v>609</v>
      </c>
      <c r="F92" s="14" t="s">
        <v>68</v>
      </c>
      <c r="G92" s="14">
        <v>0</v>
      </c>
      <c r="H92" s="14" t="s">
        <v>12</v>
      </c>
      <c r="I92" s="5" t="str">
        <f>_xlfn.XLOOKUP(C92, CustomersTable[customer_id], CustomersTable[customer_segment])</f>
        <v>VIP</v>
      </c>
      <c r="J92" s="5" t="str">
        <f>_xlfn.XLOOKUP(D92,ChannelsTable[channel_id],ChannelsTable[channel_name])</f>
        <v>ONLINE</v>
      </c>
      <c r="K92" s="5">
        <f>_xlfn.XLOOKUP(C92, CustomersTable[customer_id], CustomersTable[account_age_days])</f>
        <v>2100</v>
      </c>
      <c r="L9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2" s="5" t="str" cm="1">
        <f t="array" ref="M92">_xlfn.IFS(AND(L92="HIGH_RISK", OR(I92="VIP", I92="Corporate")), "URGENT",AND(L92="HIGH_RISK", I92="Retail"), "HIGH",F92="DECLINED", "MEDIUM",TRUE, "LOW")</f>
        <v>MEDIUM</v>
      </c>
      <c r="N92" s="5">
        <f>_xlfn.XLOOKUP(TransactionsTable[[#This Row],[customer_id]],Table4[customer_id],Table4[risk_score])</f>
        <v>1</v>
      </c>
    </row>
    <row r="93" spans="1:14">
      <c r="A93" s="14" t="s">
        <v>158</v>
      </c>
      <c r="B93" s="15">
        <v>46095.71733796296</v>
      </c>
      <c r="C93" s="14" t="s">
        <v>45</v>
      </c>
      <c r="D93" s="14" t="s">
        <v>50</v>
      </c>
      <c r="E93" s="14">
        <v>3310</v>
      </c>
      <c r="F93" s="14" t="s">
        <v>66</v>
      </c>
      <c r="G93" s="14">
        <v>0</v>
      </c>
      <c r="H93" s="14" t="s">
        <v>9</v>
      </c>
      <c r="I93" s="5" t="str">
        <f>_xlfn.XLOOKUP(C93, CustomersTable[customer_id], CustomersTable[customer_segment])</f>
        <v>VIP</v>
      </c>
      <c r="J93" s="5" t="str">
        <f>_xlfn.XLOOKUP(D93,ChannelsTable[channel_id],ChannelsTable[channel_name])</f>
        <v>POS</v>
      </c>
      <c r="K93" s="5">
        <f>_xlfn.XLOOKUP(C93, CustomersTable[customer_id], CustomersTable[account_age_days])</f>
        <v>1671</v>
      </c>
      <c r="L9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3" s="5" t="str" cm="1">
        <f t="array" ref="M93">_xlfn.IFS(AND(L93="HIGH_RISK", OR(I93="VIP", I93="Corporate")), "URGENT",AND(L93="HIGH_RISK", I93="Retail"), "HIGH",F93="DECLINED", "MEDIUM",TRUE, "LOW")</f>
        <v>LOW</v>
      </c>
      <c r="N93" s="5">
        <f>_xlfn.XLOOKUP(TransactionsTable[[#This Row],[customer_id]],Table4[customer_id],Table4[risk_score])</f>
        <v>0</v>
      </c>
    </row>
    <row r="94" spans="1:14">
      <c r="A94" s="14" t="s">
        <v>159</v>
      </c>
      <c r="B94" s="15">
        <v>46095.822951388887</v>
      </c>
      <c r="C94" s="14" t="s">
        <v>40</v>
      </c>
      <c r="D94" s="14" t="s">
        <v>50</v>
      </c>
      <c r="E94" s="14">
        <v>3678</v>
      </c>
      <c r="F94" s="14" t="s">
        <v>66</v>
      </c>
      <c r="G94" s="14">
        <v>0</v>
      </c>
      <c r="H94" s="14" t="s">
        <v>10</v>
      </c>
      <c r="I94" s="5" t="str">
        <f>_xlfn.XLOOKUP(C94, CustomersTable[customer_id], CustomersTable[customer_segment])</f>
        <v>VIP</v>
      </c>
      <c r="J94" s="5" t="str">
        <f>_xlfn.XLOOKUP(D94,ChannelsTable[channel_id],ChannelsTable[channel_name])</f>
        <v>POS</v>
      </c>
      <c r="K94" s="5">
        <f>_xlfn.XLOOKUP(C94, CustomersTable[customer_id], CustomersTable[account_age_days])</f>
        <v>1560</v>
      </c>
      <c r="L9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4" s="5" t="str" cm="1">
        <f t="array" ref="M94">_xlfn.IFS(AND(L94="HIGH_RISK", OR(I94="VIP", I94="Corporate")), "URGENT",AND(L94="HIGH_RISK", I94="Retail"), "HIGH",F94="DECLINED", "MEDIUM",TRUE, "LOW")</f>
        <v>LOW</v>
      </c>
      <c r="N94" s="5">
        <f>_xlfn.XLOOKUP(TransactionsTable[[#This Row],[customer_id]],Table4[customer_id],Table4[risk_score])</f>
        <v>0</v>
      </c>
    </row>
    <row r="95" spans="1:14">
      <c r="A95" s="14" t="s">
        <v>160</v>
      </c>
      <c r="B95" s="15">
        <v>46095.855196759258</v>
      </c>
      <c r="C95" s="14" t="s">
        <v>29</v>
      </c>
      <c r="D95" s="14" t="s">
        <v>52</v>
      </c>
      <c r="E95" s="14">
        <v>15823</v>
      </c>
      <c r="F95" s="14" t="s">
        <v>66</v>
      </c>
      <c r="G95" s="14">
        <v>0</v>
      </c>
      <c r="H95" s="14" t="s">
        <v>8</v>
      </c>
      <c r="I95" s="5" t="str">
        <f>_xlfn.XLOOKUP(C95, CustomersTable[customer_id], CustomersTable[customer_segment])</f>
        <v>Retail</v>
      </c>
      <c r="J95" s="5" t="str">
        <f>_xlfn.XLOOKUP(D95,ChannelsTable[channel_id],ChannelsTable[channel_name])</f>
        <v>ONLINE</v>
      </c>
      <c r="K95" s="5">
        <f>_xlfn.XLOOKUP(C95, CustomersTable[customer_id], CustomersTable[account_age_days])</f>
        <v>320</v>
      </c>
      <c r="L9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5" s="5" t="str" cm="1">
        <f t="array" ref="M95">_xlfn.IFS(AND(L95="HIGH_RISK", OR(I95="VIP", I95="Corporate")), "URGENT",AND(L95="HIGH_RISK", I95="Retail"), "HIGH",F95="DECLINED", "MEDIUM",TRUE, "LOW")</f>
        <v>LOW</v>
      </c>
      <c r="N95" s="5">
        <f>_xlfn.XLOOKUP(TransactionsTable[[#This Row],[customer_id]],Table4[customer_id],Table4[risk_score])</f>
        <v>2</v>
      </c>
    </row>
    <row r="96" spans="1:14">
      <c r="A96" s="14" t="s">
        <v>161</v>
      </c>
      <c r="B96" s="15">
        <v>46096.129548611112</v>
      </c>
      <c r="C96" s="14" t="s">
        <v>27</v>
      </c>
      <c r="D96" s="14" t="s">
        <v>50</v>
      </c>
      <c r="E96" s="14">
        <v>18824</v>
      </c>
      <c r="F96" s="14" t="s">
        <v>68</v>
      </c>
      <c r="G96" s="14">
        <v>1</v>
      </c>
      <c r="H96" s="14" t="s">
        <v>10</v>
      </c>
      <c r="I96" s="5" t="str">
        <f>_xlfn.XLOOKUP(C96, CustomersTable[customer_id], CustomersTable[customer_segment])</f>
        <v>Retail</v>
      </c>
      <c r="J96" s="5" t="str">
        <f>_xlfn.XLOOKUP(D96,ChannelsTable[channel_id],ChannelsTable[channel_name])</f>
        <v>POS</v>
      </c>
      <c r="K96" s="5">
        <f>_xlfn.XLOOKUP(C96, CustomersTable[customer_id], CustomersTable[account_age_days])</f>
        <v>15</v>
      </c>
      <c r="L9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96" s="5" t="str" cm="1">
        <f t="array" ref="M96">_xlfn.IFS(AND(L96="HIGH_RISK", OR(I96="VIP", I96="Corporate")), "URGENT",AND(L96="HIGH_RISK", I96="Retail"), "HIGH",F96="DECLINED", "MEDIUM",TRUE, "LOW")</f>
        <v>HIGH</v>
      </c>
      <c r="N96" s="5">
        <f>_xlfn.XLOOKUP(TransactionsTable[[#This Row],[customer_id]],Table4[customer_id],Table4[risk_score])</f>
        <v>3</v>
      </c>
    </row>
    <row r="97" spans="1:14">
      <c r="A97" s="14" t="s">
        <v>162</v>
      </c>
      <c r="B97" s="15">
        <v>46096.339884259258</v>
      </c>
      <c r="C97" s="14" t="s">
        <v>33</v>
      </c>
      <c r="D97" s="14" t="s">
        <v>52</v>
      </c>
      <c r="E97" s="14">
        <v>3027</v>
      </c>
      <c r="F97" s="14" t="s">
        <v>66</v>
      </c>
      <c r="G97" s="14">
        <v>0</v>
      </c>
      <c r="H97" s="14" t="s">
        <v>12</v>
      </c>
      <c r="I97" s="5" t="str">
        <f>_xlfn.XLOOKUP(C97, CustomersTable[customer_id], CustomersTable[customer_segment])</f>
        <v>Corporate</v>
      </c>
      <c r="J97" s="5" t="str">
        <f>_xlfn.XLOOKUP(D97,ChannelsTable[channel_id],ChannelsTable[channel_name])</f>
        <v>ONLINE</v>
      </c>
      <c r="K97" s="5">
        <f>_xlfn.XLOOKUP(C97, CustomersTable[customer_id], CustomersTable[account_age_days])</f>
        <v>1400</v>
      </c>
      <c r="L9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7" s="5" t="str" cm="1">
        <f t="array" ref="M97">_xlfn.IFS(AND(L97="HIGH_RISK", OR(I97="VIP", I97="Corporate")), "URGENT",AND(L97="HIGH_RISK", I97="Retail"), "HIGH",F97="DECLINED", "MEDIUM",TRUE, "LOW")</f>
        <v>LOW</v>
      </c>
      <c r="N97" s="5">
        <f>_xlfn.XLOOKUP(TransactionsTable[[#This Row],[customer_id]],Table4[customer_id],Table4[risk_score])</f>
        <v>0</v>
      </c>
    </row>
    <row r="98" spans="1:14">
      <c r="A98" s="14" t="s">
        <v>163</v>
      </c>
      <c r="B98" s="15">
        <v>46096.551851851851</v>
      </c>
      <c r="C98" s="14" t="s">
        <v>25</v>
      </c>
      <c r="D98" s="14" t="s">
        <v>54</v>
      </c>
      <c r="E98" s="14">
        <v>321</v>
      </c>
      <c r="F98" s="14" t="s">
        <v>66</v>
      </c>
      <c r="G98" s="14">
        <v>0</v>
      </c>
      <c r="H98" s="14" t="s">
        <v>12</v>
      </c>
      <c r="I98" s="5" t="str">
        <f>_xlfn.XLOOKUP(C98, CustomersTable[customer_id], CustomersTable[customer_segment])</f>
        <v>Retail</v>
      </c>
      <c r="J98" s="5" t="str">
        <f>_xlfn.XLOOKUP(D98,ChannelsTable[channel_id],ChannelsTable[channel_name])</f>
        <v>MOBILE</v>
      </c>
      <c r="K98" s="5">
        <f>_xlfn.XLOOKUP(C98, CustomersTable[customer_id], CustomersTable[account_age_days])</f>
        <v>450</v>
      </c>
      <c r="L9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8" s="5" t="str" cm="1">
        <f t="array" ref="M98">_xlfn.IFS(AND(L98="HIGH_RISK", OR(I98="VIP", I98="Corporate")), "URGENT",AND(L98="HIGH_RISK", I98="Retail"), "HIGH",F98="DECLINED", "MEDIUM",TRUE, "LOW")</f>
        <v>LOW</v>
      </c>
      <c r="N98" s="5">
        <f>_xlfn.XLOOKUP(TransactionsTable[[#This Row],[customer_id]],Table4[customer_id],Table4[risk_score])</f>
        <v>0</v>
      </c>
    </row>
    <row r="99" spans="1:14">
      <c r="A99" s="14" t="s">
        <v>164</v>
      </c>
      <c r="B99" s="15">
        <v>46096.753819444442</v>
      </c>
      <c r="C99" s="14" t="s">
        <v>31</v>
      </c>
      <c r="D99" s="14" t="s">
        <v>50</v>
      </c>
      <c r="E99" s="14">
        <v>15626</v>
      </c>
      <c r="F99" s="14" t="s">
        <v>66</v>
      </c>
      <c r="G99" s="14">
        <v>0</v>
      </c>
      <c r="H99" s="14" t="s">
        <v>12</v>
      </c>
      <c r="I99" s="5" t="str">
        <f>_xlfn.XLOOKUP(C99, CustomersTable[customer_id], CustomersTable[customer_segment])</f>
        <v>VIP</v>
      </c>
      <c r="J99" s="5" t="str">
        <f>_xlfn.XLOOKUP(D99,ChannelsTable[channel_id],ChannelsTable[channel_name])</f>
        <v>POS</v>
      </c>
      <c r="K99" s="5">
        <f>_xlfn.XLOOKUP(C99, CustomersTable[customer_id], CustomersTable[account_age_days])</f>
        <v>2100</v>
      </c>
      <c r="L9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99" s="5" t="str" cm="1">
        <f t="array" ref="M99">_xlfn.IFS(AND(L99="HIGH_RISK", OR(I99="VIP", I99="Corporate")), "URGENT",AND(L99="HIGH_RISK", I99="Retail"), "HIGH",F99="DECLINED", "MEDIUM",TRUE, "LOW")</f>
        <v>LOW</v>
      </c>
      <c r="N99" s="5">
        <f>_xlfn.XLOOKUP(TransactionsTable[[#This Row],[customer_id]],Table4[customer_id],Table4[risk_score])</f>
        <v>1</v>
      </c>
    </row>
    <row r="100" spans="1:14">
      <c r="A100" s="14" t="s">
        <v>165</v>
      </c>
      <c r="B100" s="15">
        <v>46096.922523148147</v>
      </c>
      <c r="C100" s="14" t="s">
        <v>39</v>
      </c>
      <c r="D100" s="14" t="s">
        <v>54</v>
      </c>
      <c r="E100" s="14">
        <v>7902</v>
      </c>
      <c r="F100" s="14" t="s">
        <v>68</v>
      </c>
      <c r="G100" s="14">
        <v>1</v>
      </c>
      <c r="H100" s="14" t="s">
        <v>12</v>
      </c>
      <c r="I100" s="5" t="str">
        <f>_xlfn.XLOOKUP(C100, CustomersTable[customer_id], CustomersTable[customer_segment])</f>
        <v>Retail</v>
      </c>
      <c r="J100" s="5" t="str">
        <f>_xlfn.XLOOKUP(D100,ChannelsTable[channel_id],ChannelsTable[channel_name])</f>
        <v>MOBILE</v>
      </c>
      <c r="K100" s="5">
        <f>_xlfn.XLOOKUP(C100, CustomersTable[customer_id], CustomersTable[account_age_days])</f>
        <v>544</v>
      </c>
      <c r="L10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00" s="5" t="str" cm="1">
        <f t="array" ref="M100">_xlfn.IFS(AND(L100="HIGH_RISK", OR(I100="VIP", I100="Corporate")), "URGENT",AND(L100="HIGH_RISK", I100="Retail"), "HIGH",F100="DECLINED", "MEDIUM",TRUE, "LOW")</f>
        <v>HIGH</v>
      </c>
      <c r="N100" s="5">
        <f>_xlfn.XLOOKUP(TransactionsTable[[#This Row],[customer_id]],Table4[customer_id],Table4[risk_score])</f>
        <v>0</v>
      </c>
    </row>
    <row r="101" spans="1:14">
      <c r="A101" s="14" t="s">
        <v>166</v>
      </c>
      <c r="B101" s="15">
        <v>46097.063530092593</v>
      </c>
      <c r="C101" s="14" t="s">
        <v>27</v>
      </c>
      <c r="D101" s="14" t="s">
        <v>50</v>
      </c>
      <c r="E101" s="14">
        <v>12201</v>
      </c>
      <c r="F101" s="14" t="s">
        <v>66</v>
      </c>
      <c r="G101" s="14">
        <v>1</v>
      </c>
      <c r="H101" s="14" t="s">
        <v>8</v>
      </c>
      <c r="I101" s="5" t="str">
        <f>_xlfn.XLOOKUP(C101, CustomersTable[customer_id], CustomersTable[customer_segment])</f>
        <v>Retail</v>
      </c>
      <c r="J101" s="5" t="str">
        <f>_xlfn.XLOOKUP(D101,ChannelsTable[channel_id],ChannelsTable[channel_name])</f>
        <v>POS</v>
      </c>
      <c r="K101" s="5">
        <f>_xlfn.XLOOKUP(C101, CustomersTable[customer_id], CustomersTable[account_age_days])</f>
        <v>15</v>
      </c>
      <c r="L10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01" s="5" t="str" cm="1">
        <f t="array" ref="M101">_xlfn.IFS(AND(L101="HIGH_RISK", OR(I101="VIP", I101="Corporate")), "URGENT",AND(L101="HIGH_RISK", I101="Retail"), "HIGH",F101="DECLINED", "MEDIUM",TRUE, "LOW")</f>
        <v>HIGH</v>
      </c>
      <c r="N101" s="5">
        <f>_xlfn.XLOOKUP(TransactionsTable[[#This Row],[customer_id]],Table4[customer_id],Table4[risk_score])</f>
        <v>3</v>
      </c>
    </row>
    <row r="102" spans="1:14">
      <c r="A102" s="14" t="s">
        <v>167</v>
      </c>
      <c r="B102" s="15">
        <v>46097.175729166665</v>
      </c>
      <c r="C102" s="14" t="s">
        <v>42</v>
      </c>
      <c r="D102" s="14" t="s">
        <v>52</v>
      </c>
      <c r="E102" s="14">
        <v>1739</v>
      </c>
      <c r="F102" s="14" t="s">
        <v>66</v>
      </c>
      <c r="G102" s="14">
        <v>1</v>
      </c>
      <c r="H102" s="14" t="s">
        <v>9</v>
      </c>
      <c r="I102" s="5" t="str">
        <f>_xlfn.XLOOKUP(C102, CustomersTable[customer_id], CustomersTable[customer_segment])</f>
        <v>Retail</v>
      </c>
      <c r="J102" s="5" t="str">
        <f>_xlfn.XLOOKUP(D102,ChannelsTable[channel_id],ChannelsTable[channel_name])</f>
        <v>ONLINE</v>
      </c>
      <c r="K102" s="5">
        <f>_xlfn.XLOOKUP(C102, CustomersTable[customer_id], CustomersTable[account_age_days])</f>
        <v>360</v>
      </c>
      <c r="L10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2" s="5" t="str" cm="1">
        <f t="array" ref="M102">_xlfn.IFS(AND(L102="HIGH_RISK", OR(I102="VIP", I102="Corporate")), "URGENT",AND(L102="HIGH_RISK", I102="Retail"), "HIGH",F102="DECLINED", "MEDIUM",TRUE, "LOW")</f>
        <v>LOW</v>
      </c>
      <c r="N102" s="5">
        <f>_xlfn.XLOOKUP(TransactionsTable[[#This Row],[customer_id]],Table4[customer_id],Table4[risk_score])</f>
        <v>1</v>
      </c>
    </row>
    <row r="103" spans="1:14">
      <c r="A103" s="14" t="s">
        <v>168</v>
      </c>
      <c r="B103" s="15">
        <v>46097.281805555554</v>
      </c>
      <c r="C103" s="14" t="s">
        <v>31</v>
      </c>
      <c r="D103" s="14" t="s">
        <v>48</v>
      </c>
      <c r="E103" s="14">
        <v>1255</v>
      </c>
      <c r="F103" s="14" t="s">
        <v>66</v>
      </c>
      <c r="G103" s="14">
        <v>0</v>
      </c>
      <c r="H103" s="14" t="s">
        <v>12</v>
      </c>
      <c r="I103" s="5" t="str">
        <f>_xlfn.XLOOKUP(C103, CustomersTable[customer_id], CustomersTable[customer_segment])</f>
        <v>VIP</v>
      </c>
      <c r="J103" s="5" t="str">
        <f>_xlfn.XLOOKUP(D103,ChannelsTable[channel_id],ChannelsTable[channel_name])</f>
        <v>ATM</v>
      </c>
      <c r="K103" s="5">
        <f>_xlfn.XLOOKUP(C103, CustomersTable[customer_id], CustomersTable[account_age_days])</f>
        <v>2100</v>
      </c>
      <c r="L10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3" s="5" t="str" cm="1">
        <f t="array" ref="M103">_xlfn.IFS(AND(L103="HIGH_RISK", OR(I103="VIP", I103="Corporate")), "URGENT",AND(L103="HIGH_RISK", I103="Retail"), "HIGH",F103="DECLINED", "MEDIUM",TRUE, "LOW")</f>
        <v>LOW</v>
      </c>
      <c r="N103" s="5">
        <f>_xlfn.XLOOKUP(TransactionsTable[[#This Row],[customer_id]],Table4[customer_id],Table4[risk_score])</f>
        <v>1</v>
      </c>
    </row>
    <row r="104" spans="1:14">
      <c r="A104" s="14" t="s">
        <v>169</v>
      </c>
      <c r="B104" s="15">
        <v>46097.355219907404</v>
      </c>
      <c r="C104" s="14" t="s">
        <v>42</v>
      </c>
      <c r="D104" s="14" t="s">
        <v>50</v>
      </c>
      <c r="E104" s="14">
        <v>397</v>
      </c>
      <c r="F104" s="14" t="s">
        <v>66</v>
      </c>
      <c r="G104" s="14">
        <v>0</v>
      </c>
      <c r="H104" s="14" t="s">
        <v>11</v>
      </c>
      <c r="I104" s="5" t="str">
        <f>_xlfn.XLOOKUP(C104, CustomersTable[customer_id], CustomersTable[customer_segment])</f>
        <v>Retail</v>
      </c>
      <c r="J104" s="5" t="str">
        <f>_xlfn.XLOOKUP(D104,ChannelsTable[channel_id],ChannelsTable[channel_name])</f>
        <v>POS</v>
      </c>
      <c r="K104" s="5">
        <f>_xlfn.XLOOKUP(C104, CustomersTable[customer_id], CustomersTable[account_age_days])</f>
        <v>360</v>
      </c>
      <c r="L10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4" s="5" t="str" cm="1">
        <f t="array" ref="M104">_xlfn.IFS(AND(L104="HIGH_RISK", OR(I104="VIP", I104="Corporate")), "URGENT",AND(L104="HIGH_RISK", I104="Retail"), "HIGH",F104="DECLINED", "MEDIUM",TRUE, "LOW")</f>
        <v>LOW</v>
      </c>
      <c r="N104" s="5">
        <f>_xlfn.XLOOKUP(TransactionsTable[[#This Row],[customer_id]],Table4[customer_id],Table4[risk_score])</f>
        <v>1</v>
      </c>
    </row>
    <row r="105" spans="1:14">
      <c r="A105" s="14" t="s">
        <v>170</v>
      </c>
      <c r="B105" s="15">
        <v>46097.385023148148</v>
      </c>
      <c r="C105" s="14" t="s">
        <v>35</v>
      </c>
      <c r="D105" s="14" t="s">
        <v>52</v>
      </c>
      <c r="E105" s="14">
        <v>1533</v>
      </c>
      <c r="F105" s="14" t="s">
        <v>66</v>
      </c>
      <c r="G105" s="14">
        <v>0</v>
      </c>
      <c r="H105" s="14" t="s">
        <v>10</v>
      </c>
      <c r="I105" s="5" t="str">
        <f>_xlfn.XLOOKUP(C105, CustomersTable[customer_id], CustomersTable[customer_segment])</f>
        <v>VIP</v>
      </c>
      <c r="J105" s="5" t="str">
        <f>_xlfn.XLOOKUP(D105,ChannelsTable[channel_id],ChannelsTable[channel_name])</f>
        <v>ONLINE</v>
      </c>
      <c r="K105" s="5">
        <f>_xlfn.XLOOKUP(C105, CustomersTable[customer_id], CustomersTable[account_age_days])</f>
        <v>950</v>
      </c>
      <c r="L10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5" s="5" t="str" cm="1">
        <f t="array" ref="M105">_xlfn.IFS(AND(L105="HIGH_RISK", OR(I105="VIP", I105="Corporate")), "URGENT",AND(L105="HIGH_RISK", I105="Retail"), "HIGH",F105="DECLINED", "MEDIUM",TRUE, "LOW")</f>
        <v>LOW</v>
      </c>
      <c r="N105" s="5">
        <f>_xlfn.XLOOKUP(TransactionsTable[[#This Row],[customer_id]],Table4[customer_id],Table4[risk_score])</f>
        <v>1</v>
      </c>
    </row>
    <row r="106" spans="1:14">
      <c r="A106" s="14" t="s">
        <v>171</v>
      </c>
      <c r="B106" s="15">
        <v>46097.393206018518</v>
      </c>
      <c r="C106" s="14" t="s">
        <v>35</v>
      </c>
      <c r="D106" s="14" t="s">
        <v>52</v>
      </c>
      <c r="E106" s="14">
        <v>1829</v>
      </c>
      <c r="F106" s="14" t="s">
        <v>66</v>
      </c>
      <c r="G106" s="14">
        <v>0</v>
      </c>
      <c r="H106" s="14" t="s">
        <v>12</v>
      </c>
      <c r="I106" s="5" t="str">
        <f>_xlfn.XLOOKUP(C106, CustomersTable[customer_id], CustomersTable[customer_segment])</f>
        <v>VIP</v>
      </c>
      <c r="J106" s="5" t="str">
        <f>_xlfn.XLOOKUP(D106,ChannelsTable[channel_id],ChannelsTable[channel_name])</f>
        <v>ONLINE</v>
      </c>
      <c r="K106" s="5">
        <f>_xlfn.XLOOKUP(C106, CustomersTable[customer_id], CustomersTable[account_age_days])</f>
        <v>950</v>
      </c>
      <c r="L10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6" s="5" t="str" cm="1">
        <f t="array" ref="M106">_xlfn.IFS(AND(L106="HIGH_RISK", OR(I106="VIP", I106="Corporate")), "URGENT",AND(L106="HIGH_RISK", I106="Retail"), "HIGH",F106="DECLINED", "MEDIUM",TRUE, "LOW")</f>
        <v>LOW</v>
      </c>
      <c r="N106" s="5">
        <f>_xlfn.XLOOKUP(TransactionsTable[[#This Row],[customer_id]],Table4[customer_id],Table4[risk_score])</f>
        <v>1</v>
      </c>
    </row>
    <row r="107" spans="1:14">
      <c r="A107" s="14" t="s">
        <v>172</v>
      </c>
      <c r="B107" s="15">
        <v>46097.463263888887</v>
      </c>
      <c r="C107" s="14" t="s">
        <v>43</v>
      </c>
      <c r="D107" s="14" t="s">
        <v>50</v>
      </c>
      <c r="E107" s="14">
        <v>318</v>
      </c>
      <c r="F107" s="14" t="s">
        <v>68</v>
      </c>
      <c r="G107" s="14">
        <v>0</v>
      </c>
      <c r="H107" s="14" t="s">
        <v>11</v>
      </c>
      <c r="I107" s="5" t="str">
        <f>_xlfn.XLOOKUP(C107, CustomersTable[customer_id], CustomersTable[customer_segment])</f>
        <v>Retail</v>
      </c>
      <c r="J107" s="5" t="str">
        <f>_xlfn.XLOOKUP(D107,ChannelsTable[channel_id],ChannelsTable[channel_name])</f>
        <v>POS</v>
      </c>
      <c r="K107" s="5">
        <f>_xlfn.XLOOKUP(C107, CustomersTable[customer_id], CustomersTable[account_age_days])</f>
        <v>442</v>
      </c>
      <c r="L10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7" s="5" t="str" cm="1">
        <f t="array" ref="M107">_xlfn.IFS(AND(L107="HIGH_RISK", OR(I107="VIP", I107="Corporate")), "URGENT",AND(L107="HIGH_RISK", I107="Retail"), "HIGH",F107="DECLINED", "MEDIUM",TRUE, "LOW")</f>
        <v>MEDIUM</v>
      </c>
      <c r="N107" s="5">
        <f>_xlfn.XLOOKUP(TransactionsTable[[#This Row],[customer_id]],Table4[customer_id],Table4[risk_score])</f>
        <v>1</v>
      </c>
    </row>
    <row r="108" spans="1:14">
      <c r="A108" s="14" t="s">
        <v>173</v>
      </c>
      <c r="B108" s="15">
        <v>46097.60324074074</v>
      </c>
      <c r="C108" s="14" t="s">
        <v>35</v>
      </c>
      <c r="D108" s="14" t="s">
        <v>50</v>
      </c>
      <c r="E108" s="14">
        <v>1699</v>
      </c>
      <c r="F108" s="14" t="s">
        <v>66</v>
      </c>
      <c r="G108" s="14">
        <v>0</v>
      </c>
      <c r="H108" s="14" t="s">
        <v>9</v>
      </c>
      <c r="I108" s="5" t="str">
        <f>_xlfn.XLOOKUP(C108, CustomersTable[customer_id], CustomersTable[customer_segment])</f>
        <v>VIP</v>
      </c>
      <c r="J108" s="5" t="str">
        <f>_xlfn.XLOOKUP(D108,ChannelsTable[channel_id],ChannelsTable[channel_name])</f>
        <v>POS</v>
      </c>
      <c r="K108" s="5">
        <f>_xlfn.XLOOKUP(C108, CustomersTable[customer_id], CustomersTable[account_age_days])</f>
        <v>950</v>
      </c>
      <c r="L10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8" s="5" t="str" cm="1">
        <f t="array" ref="M108">_xlfn.IFS(AND(L108="HIGH_RISK", OR(I108="VIP", I108="Corporate")), "URGENT",AND(L108="HIGH_RISK", I108="Retail"), "HIGH",F108="DECLINED", "MEDIUM",TRUE, "LOW")</f>
        <v>LOW</v>
      </c>
      <c r="N108" s="5">
        <f>_xlfn.XLOOKUP(TransactionsTable[[#This Row],[customer_id]],Table4[customer_id],Table4[risk_score])</f>
        <v>1</v>
      </c>
    </row>
    <row r="109" spans="1:14">
      <c r="A109" s="14" t="s">
        <v>174</v>
      </c>
      <c r="B109" s="15">
        <v>46097.614525462966</v>
      </c>
      <c r="C109" s="14" t="s">
        <v>33</v>
      </c>
      <c r="D109" s="14" t="s">
        <v>50</v>
      </c>
      <c r="E109" s="14">
        <v>880</v>
      </c>
      <c r="F109" s="14" t="s">
        <v>66</v>
      </c>
      <c r="G109" s="14">
        <v>0</v>
      </c>
      <c r="H109" s="14" t="s">
        <v>8</v>
      </c>
      <c r="I109" s="5" t="str">
        <f>_xlfn.XLOOKUP(C109, CustomersTable[customer_id], CustomersTable[customer_segment])</f>
        <v>Corporate</v>
      </c>
      <c r="J109" s="5" t="str">
        <f>_xlfn.XLOOKUP(D109,ChannelsTable[channel_id],ChannelsTable[channel_name])</f>
        <v>POS</v>
      </c>
      <c r="K109" s="5">
        <f>_xlfn.XLOOKUP(C109, CustomersTable[customer_id], CustomersTable[account_age_days])</f>
        <v>1400</v>
      </c>
      <c r="L10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09" s="5" t="str" cm="1">
        <f t="array" ref="M109">_xlfn.IFS(AND(L109="HIGH_RISK", OR(I109="VIP", I109="Corporate")), "URGENT",AND(L109="HIGH_RISK", I109="Retail"), "HIGH",F109="DECLINED", "MEDIUM",TRUE, "LOW")</f>
        <v>LOW</v>
      </c>
      <c r="N109" s="5">
        <f>_xlfn.XLOOKUP(TransactionsTable[[#This Row],[customer_id]],Table4[customer_id],Table4[risk_score])</f>
        <v>0</v>
      </c>
    </row>
    <row r="110" spans="1:14">
      <c r="A110" s="14" t="s">
        <v>175</v>
      </c>
      <c r="B110" s="15">
        <v>46097.710763888892</v>
      </c>
      <c r="C110" s="14" t="s">
        <v>33</v>
      </c>
      <c r="D110" s="14" t="s">
        <v>54</v>
      </c>
      <c r="E110" s="14">
        <v>7693</v>
      </c>
      <c r="F110" s="14" t="s">
        <v>68</v>
      </c>
      <c r="G110" s="14">
        <v>0</v>
      </c>
      <c r="H110" s="14" t="s">
        <v>8</v>
      </c>
      <c r="I110" s="5" t="str">
        <f>_xlfn.XLOOKUP(C110, CustomersTable[customer_id], CustomersTable[customer_segment])</f>
        <v>Corporate</v>
      </c>
      <c r="J110" s="5" t="str">
        <f>_xlfn.XLOOKUP(D110,ChannelsTable[channel_id],ChannelsTable[channel_name])</f>
        <v>MOBILE</v>
      </c>
      <c r="K110" s="5">
        <f>_xlfn.XLOOKUP(C110, CustomersTable[customer_id], CustomersTable[account_age_days])</f>
        <v>1400</v>
      </c>
      <c r="L11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10" s="5" t="str" cm="1">
        <f t="array" ref="M110">_xlfn.IFS(AND(L110="HIGH_RISK", OR(I110="VIP", I110="Corporate")), "URGENT",AND(L110="HIGH_RISK", I110="Retail"), "HIGH",F110="DECLINED", "MEDIUM",TRUE, "LOW")</f>
        <v>URGENT</v>
      </c>
      <c r="N110" s="5">
        <f>_xlfn.XLOOKUP(TransactionsTable[[#This Row],[customer_id]],Table4[customer_id],Table4[risk_score])</f>
        <v>0</v>
      </c>
    </row>
    <row r="111" spans="1:14">
      <c r="A111" s="14" t="s">
        <v>176</v>
      </c>
      <c r="B111" s="15">
        <v>46097.774293981478</v>
      </c>
      <c r="C111" s="14" t="s">
        <v>27</v>
      </c>
      <c r="D111" s="14" t="s">
        <v>52</v>
      </c>
      <c r="E111" s="14">
        <v>456</v>
      </c>
      <c r="F111" s="14" t="s">
        <v>66</v>
      </c>
      <c r="G111" s="14">
        <v>0</v>
      </c>
      <c r="H111" s="14" t="s">
        <v>8</v>
      </c>
      <c r="I111" s="5" t="str">
        <f>_xlfn.XLOOKUP(C111, CustomersTable[customer_id], CustomersTable[customer_segment])</f>
        <v>Retail</v>
      </c>
      <c r="J111" s="5" t="str">
        <f>_xlfn.XLOOKUP(D111,ChannelsTable[channel_id],ChannelsTable[channel_name])</f>
        <v>ONLINE</v>
      </c>
      <c r="K111" s="5">
        <f>_xlfn.XLOOKUP(C111, CustomersTable[customer_id], CustomersTable[account_age_days])</f>
        <v>15</v>
      </c>
      <c r="L11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1" s="5" t="str" cm="1">
        <f t="array" ref="M111">_xlfn.IFS(AND(L111="HIGH_RISK", OR(I111="VIP", I111="Corporate")), "URGENT",AND(L111="HIGH_RISK", I111="Retail"), "HIGH",F111="DECLINED", "MEDIUM",TRUE, "LOW")</f>
        <v>LOW</v>
      </c>
      <c r="N111" s="5">
        <f>_xlfn.XLOOKUP(TransactionsTable[[#This Row],[customer_id]],Table4[customer_id],Table4[risk_score])</f>
        <v>3</v>
      </c>
    </row>
    <row r="112" spans="1:14">
      <c r="A112" s="14" t="s">
        <v>177</v>
      </c>
      <c r="B112" s="15">
        <v>46097.857835648145</v>
      </c>
      <c r="C112" s="14" t="s">
        <v>22</v>
      </c>
      <c r="D112" s="14" t="s">
        <v>52</v>
      </c>
      <c r="E112" s="14">
        <v>3361</v>
      </c>
      <c r="F112" s="14" t="s">
        <v>66</v>
      </c>
      <c r="G112" s="14">
        <v>0</v>
      </c>
      <c r="H112" s="14" t="s">
        <v>8</v>
      </c>
      <c r="I112" s="5" t="str">
        <f>_xlfn.XLOOKUP(C112, CustomersTable[customer_id], CustomersTable[customer_segment])</f>
        <v>VIP</v>
      </c>
      <c r="J112" s="5" t="str">
        <f>_xlfn.XLOOKUP(D112,ChannelsTable[channel_id],ChannelsTable[channel_name])</f>
        <v>ONLINE</v>
      </c>
      <c r="K112" s="5">
        <f>_xlfn.XLOOKUP(C112, CustomersTable[customer_id], CustomersTable[account_age_days])</f>
        <v>1200</v>
      </c>
      <c r="L11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2" s="5" t="str" cm="1">
        <f t="array" ref="M112">_xlfn.IFS(AND(L112="HIGH_RISK", OR(I112="VIP", I112="Corporate")), "URGENT",AND(L112="HIGH_RISK", I112="Retail"), "HIGH",F112="DECLINED", "MEDIUM",TRUE, "LOW")</f>
        <v>LOW</v>
      </c>
      <c r="N112" s="5">
        <f>_xlfn.XLOOKUP(TransactionsTable[[#This Row],[customer_id]],Table4[customer_id],Table4[risk_score])</f>
        <v>1</v>
      </c>
    </row>
    <row r="113" spans="1:14">
      <c r="A113" s="14" t="s">
        <v>178</v>
      </c>
      <c r="B113" s="15">
        <v>46098.284155092595</v>
      </c>
      <c r="C113" s="14" t="s">
        <v>27</v>
      </c>
      <c r="D113" s="14" t="s">
        <v>50</v>
      </c>
      <c r="E113" s="14">
        <v>1617</v>
      </c>
      <c r="F113" s="14" t="s">
        <v>66</v>
      </c>
      <c r="G113" s="14">
        <v>0</v>
      </c>
      <c r="H113" s="14" t="s">
        <v>12</v>
      </c>
      <c r="I113" s="5" t="str">
        <f>_xlfn.XLOOKUP(C113, CustomersTable[customer_id], CustomersTable[customer_segment])</f>
        <v>Retail</v>
      </c>
      <c r="J113" s="5" t="str">
        <f>_xlfn.XLOOKUP(D113,ChannelsTable[channel_id],ChannelsTable[channel_name])</f>
        <v>POS</v>
      </c>
      <c r="K113" s="5">
        <f>_xlfn.XLOOKUP(C113, CustomersTable[customer_id], CustomersTable[account_age_days])</f>
        <v>15</v>
      </c>
      <c r="L11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3" s="5" t="str" cm="1">
        <f t="array" ref="M113">_xlfn.IFS(AND(L113="HIGH_RISK", OR(I113="VIP", I113="Corporate")), "URGENT",AND(L113="HIGH_RISK", I113="Retail"), "HIGH",F113="DECLINED", "MEDIUM",TRUE, "LOW")</f>
        <v>LOW</v>
      </c>
      <c r="N113" s="5">
        <f>_xlfn.XLOOKUP(TransactionsTable[[#This Row],[customer_id]],Table4[customer_id],Table4[risk_score])</f>
        <v>3</v>
      </c>
    </row>
    <row r="114" spans="1:14">
      <c r="A114" s="14" t="s">
        <v>179</v>
      </c>
      <c r="B114" s="15">
        <v>46098.528726851851</v>
      </c>
      <c r="C114" s="14" t="s">
        <v>45</v>
      </c>
      <c r="D114" s="14" t="s">
        <v>52</v>
      </c>
      <c r="E114" s="14">
        <v>248</v>
      </c>
      <c r="F114" s="14" t="s">
        <v>66</v>
      </c>
      <c r="G114" s="14">
        <v>0</v>
      </c>
      <c r="H114" s="14" t="s">
        <v>10</v>
      </c>
      <c r="I114" s="5" t="str">
        <f>_xlfn.XLOOKUP(C114, CustomersTable[customer_id], CustomersTable[customer_segment])</f>
        <v>VIP</v>
      </c>
      <c r="J114" s="5" t="str">
        <f>_xlfn.XLOOKUP(D114,ChannelsTable[channel_id],ChannelsTable[channel_name])</f>
        <v>ONLINE</v>
      </c>
      <c r="K114" s="5">
        <f>_xlfn.XLOOKUP(C114, CustomersTable[customer_id], CustomersTable[account_age_days])</f>
        <v>1671</v>
      </c>
      <c r="L11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4" s="5" t="str" cm="1">
        <f t="array" ref="M114">_xlfn.IFS(AND(L114="HIGH_RISK", OR(I114="VIP", I114="Corporate")), "URGENT",AND(L114="HIGH_RISK", I114="Retail"), "HIGH",F114="DECLINED", "MEDIUM",TRUE, "LOW")</f>
        <v>LOW</v>
      </c>
      <c r="N114" s="5">
        <f>_xlfn.XLOOKUP(TransactionsTable[[#This Row],[customer_id]],Table4[customer_id],Table4[risk_score])</f>
        <v>0</v>
      </c>
    </row>
    <row r="115" spans="1:14">
      <c r="A115" s="14" t="s">
        <v>180</v>
      </c>
      <c r="B115" s="15">
        <v>46098.589733796296</v>
      </c>
      <c r="C115" s="14" t="s">
        <v>37</v>
      </c>
      <c r="D115" s="14" t="s">
        <v>50</v>
      </c>
      <c r="E115" s="14">
        <v>216</v>
      </c>
      <c r="F115" s="14" t="s">
        <v>66</v>
      </c>
      <c r="G115" s="14">
        <v>0</v>
      </c>
      <c r="H115" s="14" t="s">
        <v>12</v>
      </c>
      <c r="I115" s="5" t="str">
        <f>_xlfn.XLOOKUP(C115, CustomersTable[customer_id], CustomersTable[customer_segment])</f>
        <v>Retail</v>
      </c>
      <c r="J115" s="5" t="str">
        <f>_xlfn.XLOOKUP(D115,ChannelsTable[channel_id],ChannelsTable[channel_name])</f>
        <v>POS</v>
      </c>
      <c r="K115" s="5">
        <f>_xlfn.XLOOKUP(C115, CustomersTable[customer_id], CustomersTable[account_age_days])</f>
        <v>10</v>
      </c>
      <c r="L11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5" s="5" t="str" cm="1">
        <f t="array" ref="M115">_xlfn.IFS(AND(L115="HIGH_RISK", OR(I115="VIP", I115="Corporate")), "URGENT",AND(L115="HIGH_RISK", I115="Retail"), "HIGH",F115="DECLINED", "MEDIUM",TRUE, "LOW")</f>
        <v>LOW</v>
      </c>
      <c r="N115" s="5">
        <f>_xlfn.XLOOKUP(TransactionsTable[[#This Row],[customer_id]],Table4[customer_id],Table4[risk_score])</f>
        <v>0</v>
      </c>
    </row>
    <row r="116" spans="1:14">
      <c r="A116" s="14" t="s">
        <v>181</v>
      </c>
      <c r="B116" s="15">
        <v>46098.870243055557</v>
      </c>
      <c r="C116" s="14" t="s">
        <v>32</v>
      </c>
      <c r="D116" s="14" t="s">
        <v>52</v>
      </c>
      <c r="E116" s="14">
        <v>408</v>
      </c>
      <c r="F116" s="14" t="s">
        <v>66</v>
      </c>
      <c r="G116" s="14">
        <v>0</v>
      </c>
      <c r="H116" s="14" t="s">
        <v>9</v>
      </c>
      <c r="I116" s="5" t="str">
        <f>_xlfn.XLOOKUP(C116, CustomersTable[customer_id], CustomersTable[customer_segment])</f>
        <v>Retail</v>
      </c>
      <c r="J116" s="5" t="str">
        <f>_xlfn.XLOOKUP(D116,ChannelsTable[channel_id],ChannelsTable[channel_name])</f>
        <v>ONLINE</v>
      </c>
      <c r="K116" s="5">
        <f>_xlfn.XLOOKUP(C116, CustomersTable[customer_id], CustomersTable[account_age_days])</f>
        <v>8</v>
      </c>
      <c r="L11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6" s="5" t="str" cm="1">
        <f t="array" ref="M116">_xlfn.IFS(AND(L116="HIGH_RISK", OR(I116="VIP", I116="Corporate")), "URGENT",AND(L116="HIGH_RISK", I116="Retail"), "HIGH",F116="DECLINED", "MEDIUM",TRUE, "LOW")</f>
        <v>LOW</v>
      </c>
      <c r="N116" s="5">
        <f>_xlfn.XLOOKUP(TransactionsTable[[#This Row],[customer_id]],Table4[customer_id],Table4[risk_score])</f>
        <v>2</v>
      </c>
    </row>
    <row r="117" spans="1:14">
      <c r="A117" s="14" t="s">
        <v>182</v>
      </c>
      <c r="B117" s="15">
        <v>46098.995555555557</v>
      </c>
      <c r="C117" s="14" t="s">
        <v>38</v>
      </c>
      <c r="D117" s="14" t="s">
        <v>50</v>
      </c>
      <c r="E117" s="14">
        <v>13013</v>
      </c>
      <c r="F117" s="14" t="s">
        <v>68</v>
      </c>
      <c r="G117" s="14">
        <v>1</v>
      </c>
      <c r="H117" s="14" t="s">
        <v>11</v>
      </c>
      <c r="I117" s="5" t="str">
        <f>_xlfn.XLOOKUP(C117, CustomersTable[customer_id], CustomersTable[customer_segment])</f>
        <v>Corporate</v>
      </c>
      <c r="J117" s="5" t="str">
        <f>_xlfn.XLOOKUP(D117,ChannelsTable[channel_id],ChannelsTable[channel_name])</f>
        <v>POS</v>
      </c>
      <c r="K117" s="5">
        <f>_xlfn.XLOOKUP(C117, CustomersTable[customer_id], CustomersTable[account_age_days])</f>
        <v>762</v>
      </c>
      <c r="L11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17" s="5" t="str" cm="1">
        <f t="array" ref="M117">_xlfn.IFS(AND(L117="HIGH_RISK", OR(I117="VIP", I117="Corporate")), "URGENT",AND(L117="HIGH_RISK", I117="Retail"), "HIGH",F117="DECLINED", "MEDIUM",TRUE, "LOW")</f>
        <v>URGENT</v>
      </c>
      <c r="N117" s="5">
        <f>_xlfn.XLOOKUP(TransactionsTable[[#This Row],[customer_id]],Table4[customer_id],Table4[risk_score])</f>
        <v>0</v>
      </c>
    </row>
    <row r="118" spans="1:14">
      <c r="A118" s="14" t="s">
        <v>183</v>
      </c>
      <c r="B118" s="15">
        <v>46099.129363425927</v>
      </c>
      <c r="C118" s="14" t="s">
        <v>31</v>
      </c>
      <c r="D118" s="14" t="s">
        <v>52</v>
      </c>
      <c r="E118" s="14">
        <v>1203</v>
      </c>
      <c r="F118" s="14" t="s">
        <v>66</v>
      </c>
      <c r="G118" s="14">
        <v>1</v>
      </c>
      <c r="H118" s="14" t="s">
        <v>8</v>
      </c>
      <c r="I118" s="5" t="str">
        <f>_xlfn.XLOOKUP(C118, CustomersTable[customer_id], CustomersTable[customer_segment])</f>
        <v>VIP</v>
      </c>
      <c r="J118" s="5" t="str">
        <f>_xlfn.XLOOKUP(D118,ChannelsTable[channel_id],ChannelsTable[channel_name])</f>
        <v>ONLINE</v>
      </c>
      <c r="K118" s="5">
        <f>_xlfn.XLOOKUP(C118, CustomersTable[customer_id], CustomersTable[account_age_days])</f>
        <v>2100</v>
      </c>
      <c r="L11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8" s="5" t="str" cm="1">
        <f t="array" ref="M118">_xlfn.IFS(AND(L118="HIGH_RISK", OR(I118="VIP", I118="Corporate")), "URGENT",AND(L118="HIGH_RISK", I118="Retail"), "HIGH",F118="DECLINED", "MEDIUM",TRUE, "LOW")</f>
        <v>LOW</v>
      </c>
      <c r="N118" s="5">
        <f>_xlfn.XLOOKUP(TransactionsTable[[#This Row],[customer_id]],Table4[customer_id],Table4[risk_score])</f>
        <v>1</v>
      </c>
    </row>
    <row r="119" spans="1:14">
      <c r="A119" s="14" t="s">
        <v>184</v>
      </c>
      <c r="B119" s="15">
        <v>46099.455914351849</v>
      </c>
      <c r="C119" s="14" t="s">
        <v>32</v>
      </c>
      <c r="D119" s="14" t="s">
        <v>54</v>
      </c>
      <c r="E119" s="14">
        <v>1648</v>
      </c>
      <c r="F119" s="14" t="s">
        <v>66</v>
      </c>
      <c r="G119" s="14">
        <v>0</v>
      </c>
      <c r="H119" s="14" t="s">
        <v>12</v>
      </c>
      <c r="I119" s="5" t="str">
        <f>_xlfn.XLOOKUP(C119, CustomersTable[customer_id], CustomersTable[customer_segment])</f>
        <v>Retail</v>
      </c>
      <c r="J119" s="5" t="str">
        <f>_xlfn.XLOOKUP(D119,ChannelsTable[channel_id],ChannelsTable[channel_name])</f>
        <v>MOBILE</v>
      </c>
      <c r="K119" s="5">
        <f>_xlfn.XLOOKUP(C119, CustomersTable[customer_id], CustomersTable[account_age_days])</f>
        <v>8</v>
      </c>
      <c r="L11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19" s="5" t="str" cm="1">
        <f t="array" ref="M119">_xlfn.IFS(AND(L119="HIGH_RISK", OR(I119="VIP", I119="Corporate")), "URGENT",AND(L119="HIGH_RISK", I119="Retail"), "HIGH",F119="DECLINED", "MEDIUM",TRUE, "LOW")</f>
        <v>LOW</v>
      </c>
      <c r="N119" s="5">
        <f>_xlfn.XLOOKUP(TransactionsTable[[#This Row],[customer_id]],Table4[customer_id],Table4[risk_score])</f>
        <v>2</v>
      </c>
    </row>
    <row r="120" spans="1:14">
      <c r="A120" s="14" t="s">
        <v>185</v>
      </c>
      <c r="B120" s="15">
        <v>46099.605474537035</v>
      </c>
      <c r="C120" s="14" t="s">
        <v>39</v>
      </c>
      <c r="D120" s="14" t="s">
        <v>52</v>
      </c>
      <c r="E120" s="14">
        <v>2865</v>
      </c>
      <c r="F120" s="14" t="s">
        <v>66</v>
      </c>
      <c r="G120" s="14">
        <v>0</v>
      </c>
      <c r="H120" s="14" t="s">
        <v>8</v>
      </c>
      <c r="I120" s="5" t="str">
        <f>_xlfn.XLOOKUP(C120, CustomersTable[customer_id], CustomersTable[customer_segment])</f>
        <v>Retail</v>
      </c>
      <c r="J120" s="5" t="str">
        <f>_xlfn.XLOOKUP(D120,ChannelsTable[channel_id],ChannelsTable[channel_name])</f>
        <v>ONLINE</v>
      </c>
      <c r="K120" s="5">
        <f>_xlfn.XLOOKUP(C120, CustomersTable[customer_id], CustomersTable[account_age_days])</f>
        <v>544</v>
      </c>
      <c r="L12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0" s="5" t="str" cm="1">
        <f t="array" ref="M120">_xlfn.IFS(AND(L120="HIGH_RISK", OR(I120="VIP", I120="Corporate")), "URGENT",AND(L120="HIGH_RISK", I120="Retail"), "HIGH",F120="DECLINED", "MEDIUM",TRUE, "LOW")</f>
        <v>LOW</v>
      </c>
      <c r="N120" s="5">
        <f>_xlfn.XLOOKUP(TransactionsTable[[#This Row],[customer_id]],Table4[customer_id],Table4[risk_score])</f>
        <v>0</v>
      </c>
    </row>
    <row r="121" spans="1:14">
      <c r="A121" s="14" t="s">
        <v>186</v>
      </c>
      <c r="B121" s="15">
        <v>46099.882326388892</v>
      </c>
      <c r="C121" s="14" t="s">
        <v>39</v>
      </c>
      <c r="D121" s="14" t="s">
        <v>54</v>
      </c>
      <c r="E121" s="14">
        <v>2396</v>
      </c>
      <c r="F121" s="14" t="s">
        <v>66</v>
      </c>
      <c r="G121" s="14">
        <v>0</v>
      </c>
      <c r="H121" s="14" t="s">
        <v>11</v>
      </c>
      <c r="I121" s="5" t="str">
        <f>_xlfn.XLOOKUP(C121, CustomersTable[customer_id], CustomersTable[customer_segment])</f>
        <v>Retail</v>
      </c>
      <c r="J121" s="5" t="str">
        <f>_xlfn.XLOOKUP(D121,ChannelsTable[channel_id],ChannelsTable[channel_name])</f>
        <v>MOBILE</v>
      </c>
      <c r="K121" s="5">
        <f>_xlfn.XLOOKUP(C121, CustomersTable[customer_id], CustomersTable[account_age_days])</f>
        <v>544</v>
      </c>
      <c r="L12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1" s="5" t="str" cm="1">
        <f t="array" ref="M121">_xlfn.IFS(AND(L121="HIGH_RISK", OR(I121="VIP", I121="Corporate")), "URGENT",AND(L121="HIGH_RISK", I121="Retail"), "HIGH",F121="DECLINED", "MEDIUM",TRUE, "LOW")</f>
        <v>LOW</v>
      </c>
      <c r="N121" s="5">
        <f>_xlfn.XLOOKUP(TransactionsTable[[#This Row],[customer_id]],Table4[customer_id],Table4[risk_score])</f>
        <v>0</v>
      </c>
    </row>
    <row r="122" spans="1:14">
      <c r="A122" s="14" t="s">
        <v>187</v>
      </c>
      <c r="B122" s="15">
        <v>46099.922731481478</v>
      </c>
      <c r="C122" s="14" t="s">
        <v>34</v>
      </c>
      <c r="D122" s="14" t="s">
        <v>48</v>
      </c>
      <c r="E122" s="14">
        <v>3398</v>
      </c>
      <c r="F122" s="14" t="s">
        <v>66</v>
      </c>
      <c r="G122" s="14">
        <v>1</v>
      </c>
      <c r="H122" s="14" t="s">
        <v>9</v>
      </c>
      <c r="I122" s="5" t="str">
        <f>_xlfn.XLOOKUP(C122, CustomersTable[customer_id], CustomersTable[customer_segment])</f>
        <v>Retail</v>
      </c>
      <c r="J122" s="5" t="str">
        <f>_xlfn.XLOOKUP(D122,ChannelsTable[channel_id],ChannelsTable[channel_name])</f>
        <v>ATM</v>
      </c>
      <c r="K122" s="5">
        <f>_xlfn.XLOOKUP(C122, CustomersTable[customer_id], CustomersTable[account_age_days])</f>
        <v>60</v>
      </c>
      <c r="L12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22" s="5" t="str" cm="1">
        <f t="array" ref="M122">_xlfn.IFS(AND(L122="HIGH_RISK", OR(I122="VIP", I122="Corporate")), "URGENT",AND(L122="HIGH_RISK", I122="Retail"), "HIGH",F122="DECLINED", "MEDIUM",TRUE, "LOW")</f>
        <v>HIGH</v>
      </c>
      <c r="N122" s="5">
        <f>_xlfn.XLOOKUP(TransactionsTable[[#This Row],[customer_id]],Table4[customer_id],Table4[risk_score])</f>
        <v>3</v>
      </c>
    </row>
    <row r="123" spans="1:14">
      <c r="A123" s="14" t="s">
        <v>188</v>
      </c>
      <c r="B123" s="15">
        <v>46099.944965277777</v>
      </c>
      <c r="C123" s="14" t="s">
        <v>22</v>
      </c>
      <c r="D123" s="14" t="s">
        <v>54</v>
      </c>
      <c r="E123" s="14">
        <v>10457</v>
      </c>
      <c r="F123" s="14" t="s">
        <v>68</v>
      </c>
      <c r="G123" s="14">
        <v>1</v>
      </c>
      <c r="H123" s="14" t="s">
        <v>8</v>
      </c>
      <c r="I123" s="5" t="str">
        <f>_xlfn.XLOOKUP(C123, CustomersTable[customer_id], CustomersTable[customer_segment])</f>
        <v>VIP</v>
      </c>
      <c r="J123" s="5" t="str">
        <f>_xlfn.XLOOKUP(D123,ChannelsTable[channel_id],ChannelsTable[channel_name])</f>
        <v>MOBILE</v>
      </c>
      <c r="K123" s="5">
        <f>_xlfn.XLOOKUP(C123, CustomersTable[customer_id], CustomersTable[account_age_days])</f>
        <v>1200</v>
      </c>
      <c r="L12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23" s="5" t="str" cm="1">
        <f t="array" ref="M123">_xlfn.IFS(AND(L123="HIGH_RISK", OR(I123="VIP", I123="Corporate")), "URGENT",AND(L123="HIGH_RISK", I123="Retail"), "HIGH",F123="DECLINED", "MEDIUM",TRUE, "LOW")</f>
        <v>URGENT</v>
      </c>
      <c r="N123" s="5">
        <f>_xlfn.XLOOKUP(TransactionsTable[[#This Row],[customer_id]],Table4[customer_id],Table4[risk_score])</f>
        <v>1</v>
      </c>
    </row>
    <row r="124" spans="1:14">
      <c r="A124" s="14" t="s">
        <v>189</v>
      </c>
      <c r="B124" s="15">
        <v>46100.148668981485</v>
      </c>
      <c r="C124" s="14" t="s">
        <v>40</v>
      </c>
      <c r="D124" s="14" t="s">
        <v>54</v>
      </c>
      <c r="E124" s="14">
        <v>10680</v>
      </c>
      <c r="F124" s="14" t="s">
        <v>68</v>
      </c>
      <c r="G124" s="14">
        <v>1</v>
      </c>
      <c r="H124" s="14" t="s">
        <v>9</v>
      </c>
      <c r="I124" s="5" t="str">
        <f>_xlfn.XLOOKUP(C124, CustomersTable[customer_id], CustomersTable[customer_segment])</f>
        <v>VIP</v>
      </c>
      <c r="J124" s="5" t="str">
        <f>_xlfn.XLOOKUP(D124,ChannelsTable[channel_id],ChannelsTable[channel_name])</f>
        <v>MOBILE</v>
      </c>
      <c r="K124" s="5">
        <f>_xlfn.XLOOKUP(C124, CustomersTable[customer_id], CustomersTable[account_age_days])</f>
        <v>1560</v>
      </c>
      <c r="L12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24" s="5" t="str" cm="1">
        <f t="array" ref="M124">_xlfn.IFS(AND(L124="HIGH_RISK", OR(I124="VIP", I124="Corporate")), "URGENT",AND(L124="HIGH_RISK", I124="Retail"), "HIGH",F124="DECLINED", "MEDIUM",TRUE, "LOW")</f>
        <v>URGENT</v>
      </c>
      <c r="N124" s="5">
        <f>_xlfn.XLOOKUP(TransactionsTable[[#This Row],[customer_id]],Table4[customer_id],Table4[risk_score])</f>
        <v>0</v>
      </c>
    </row>
    <row r="125" spans="1:14">
      <c r="A125" s="14" t="s">
        <v>190</v>
      </c>
      <c r="B125" s="15">
        <v>46100.182152777779</v>
      </c>
      <c r="C125" s="14" t="s">
        <v>22</v>
      </c>
      <c r="D125" s="14" t="s">
        <v>48</v>
      </c>
      <c r="E125" s="14">
        <v>1497</v>
      </c>
      <c r="F125" s="14" t="s">
        <v>66</v>
      </c>
      <c r="G125" s="14">
        <v>1</v>
      </c>
      <c r="H125" s="14" t="s">
        <v>11</v>
      </c>
      <c r="I125" s="5" t="str">
        <f>_xlfn.XLOOKUP(C125, CustomersTable[customer_id], CustomersTable[customer_segment])</f>
        <v>VIP</v>
      </c>
      <c r="J125" s="5" t="str">
        <f>_xlfn.XLOOKUP(D125,ChannelsTable[channel_id],ChannelsTable[channel_name])</f>
        <v>ATM</v>
      </c>
      <c r="K125" s="5">
        <f>_xlfn.XLOOKUP(C125, CustomersTable[customer_id], CustomersTable[account_age_days])</f>
        <v>1200</v>
      </c>
      <c r="L12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5" s="5" t="str" cm="1">
        <f t="array" ref="M125">_xlfn.IFS(AND(L125="HIGH_RISK", OR(I125="VIP", I125="Corporate")), "URGENT",AND(L125="HIGH_RISK", I125="Retail"), "HIGH",F125="DECLINED", "MEDIUM",TRUE, "LOW")</f>
        <v>LOW</v>
      </c>
      <c r="N125" s="5">
        <f>_xlfn.XLOOKUP(TransactionsTable[[#This Row],[customer_id]],Table4[customer_id],Table4[risk_score])</f>
        <v>1</v>
      </c>
    </row>
    <row r="126" spans="1:14">
      <c r="A126" s="14" t="s">
        <v>191</v>
      </c>
      <c r="B126" s="15">
        <v>46100.383958333332</v>
      </c>
      <c r="C126" s="14" t="s">
        <v>45</v>
      </c>
      <c r="D126" s="14" t="s">
        <v>54</v>
      </c>
      <c r="E126" s="14">
        <v>1872</v>
      </c>
      <c r="F126" s="14" t="s">
        <v>68</v>
      </c>
      <c r="G126" s="14">
        <v>0</v>
      </c>
      <c r="H126" s="14" t="s">
        <v>12</v>
      </c>
      <c r="I126" s="5" t="str">
        <f>_xlfn.XLOOKUP(C126, CustomersTable[customer_id], CustomersTable[customer_segment])</f>
        <v>VIP</v>
      </c>
      <c r="J126" s="5" t="str">
        <f>_xlfn.XLOOKUP(D126,ChannelsTable[channel_id],ChannelsTable[channel_name])</f>
        <v>MOBILE</v>
      </c>
      <c r="K126" s="5">
        <f>_xlfn.XLOOKUP(C126, CustomersTable[customer_id], CustomersTable[account_age_days])</f>
        <v>1671</v>
      </c>
      <c r="L12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6" s="5" t="str" cm="1">
        <f t="array" ref="M126">_xlfn.IFS(AND(L126="HIGH_RISK", OR(I126="VIP", I126="Corporate")), "URGENT",AND(L126="HIGH_RISK", I126="Retail"), "HIGH",F126="DECLINED", "MEDIUM",TRUE, "LOW")</f>
        <v>MEDIUM</v>
      </c>
      <c r="N126" s="5">
        <f>_xlfn.XLOOKUP(TransactionsTable[[#This Row],[customer_id]],Table4[customer_id],Table4[risk_score])</f>
        <v>0</v>
      </c>
    </row>
    <row r="127" spans="1:14">
      <c r="A127" s="14" t="s">
        <v>192</v>
      </c>
      <c r="B127" s="15">
        <v>46100.534062500003</v>
      </c>
      <c r="C127" s="14" t="s">
        <v>22</v>
      </c>
      <c r="D127" s="14" t="s">
        <v>54</v>
      </c>
      <c r="E127" s="14">
        <v>7198</v>
      </c>
      <c r="F127" s="14" t="s">
        <v>66</v>
      </c>
      <c r="G127" s="14">
        <v>0</v>
      </c>
      <c r="H127" s="14" t="s">
        <v>9</v>
      </c>
      <c r="I127" s="5" t="str">
        <f>_xlfn.XLOOKUP(C127, CustomersTable[customer_id], CustomersTable[customer_segment])</f>
        <v>VIP</v>
      </c>
      <c r="J127" s="5" t="str">
        <f>_xlfn.XLOOKUP(D127,ChannelsTable[channel_id],ChannelsTable[channel_name])</f>
        <v>MOBILE</v>
      </c>
      <c r="K127" s="5">
        <f>_xlfn.XLOOKUP(C127, CustomersTable[customer_id], CustomersTable[account_age_days])</f>
        <v>1200</v>
      </c>
      <c r="L12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7" s="5" t="str" cm="1">
        <f t="array" ref="M127">_xlfn.IFS(AND(L127="HIGH_RISK", OR(I127="VIP", I127="Corporate")), "URGENT",AND(L127="HIGH_RISK", I127="Retail"), "HIGH",F127="DECLINED", "MEDIUM",TRUE, "LOW")</f>
        <v>LOW</v>
      </c>
      <c r="N127" s="5">
        <f>_xlfn.XLOOKUP(TransactionsTable[[#This Row],[customer_id]],Table4[customer_id],Table4[risk_score])</f>
        <v>1</v>
      </c>
    </row>
    <row r="128" spans="1:14">
      <c r="A128" s="14" t="s">
        <v>193</v>
      </c>
      <c r="B128" s="15">
        <v>46100.570219907408</v>
      </c>
      <c r="C128" s="14" t="s">
        <v>29</v>
      </c>
      <c r="D128" s="14" t="s">
        <v>54</v>
      </c>
      <c r="E128" s="14">
        <v>3136</v>
      </c>
      <c r="F128" s="14" t="s">
        <v>66</v>
      </c>
      <c r="G128" s="14">
        <v>0</v>
      </c>
      <c r="H128" s="14" t="s">
        <v>10</v>
      </c>
      <c r="I128" s="5" t="str">
        <f>_xlfn.XLOOKUP(C128, CustomersTable[customer_id], CustomersTable[customer_segment])</f>
        <v>Retail</v>
      </c>
      <c r="J128" s="5" t="str">
        <f>_xlfn.XLOOKUP(D128,ChannelsTable[channel_id],ChannelsTable[channel_name])</f>
        <v>MOBILE</v>
      </c>
      <c r="K128" s="5">
        <f>_xlfn.XLOOKUP(C128, CustomersTable[customer_id], CustomersTable[account_age_days])</f>
        <v>320</v>
      </c>
      <c r="L12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8" s="5" t="str" cm="1">
        <f t="array" ref="M128">_xlfn.IFS(AND(L128="HIGH_RISK", OR(I128="VIP", I128="Corporate")), "URGENT",AND(L128="HIGH_RISK", I128="Retail"), "HIGH",F128="DECLINED", "MEDIUM",TRUE, "LOW")</f>
        <v>LOW</v>
      </c>
      <c r="N128" s="5">
        <f>_xlfn.XLOOKUP(TransactionsTable[[#This Row],[customer_id]],Table4[customer_id],Table4[risk_score])</f>
        <v>2</v>
      </c>
    </row>
    <row r="129" spans="1:14">
      <c r="A129" s="14" t="s">
        <v>194</v>
      </c>
      <c r="B129" s="15">
        <v>46100.706736111111</v>
      </c>
      <c r="C129" s="14" t="s">
        <v>25</v>
      </c>
      <c r="D129" s="14" t="s">
        <v>52</v>
      </c>
      <c r="E129" s="14">
        <v>714</v>
      </c>
      <c r="F129" s="14" t="s">
        <v>66</v>
      </c>
      <c r="G129" s="14">
        <v>0</v>
      </c>
      <c r="H129" s="14" t="s">
        <v>10</v>
      </c>
      <c r="I129" s="5" t="str">
        <f>_xlfn.XLOOKUP(C129, CustomersTable[customer_id], CustomersTable[customer_segment])</f>
        <v>Retail</v>
      </c>
      <c r="J129" s="5" t="str">
        <f>_xlfn.XLOOKUP(D129,ChannelsTable[channel_id],ChannelsTable[channel_name])</f>
        <v>ONLINE</v>
      </c>
      <c r="K129" s="5">
        <f>_xlfn.XLOOKUP(C129, CustomersTable[customer_id], CustomersTable[account_age_days])</f>
        <v>450</v>
      </c>
      <c r="L12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29" s="5" t="str" cm="1">
        <f t="array" ref="M129">_xlfn.IFS(AND(L129="HIGH_RISK", OR(I129="VIP", I129="Corporate")), "URGENT",AND(L129="HIGH_RISK", I129="Retail"), "HIGH",F129="DECLINED", "MEDIUM",TRUE, "LOW")</f>
        <v>LOW</v>
      </c>
      <c r="N129" s="5">
        <f>_xlfn.XLOOKUP(TransactionsTable[[#This Row],[customer_id]],Table4[customer_id],Table4[risk_score])</f>
        <v>0</v>
      </c>
    </row>
    <row r="130" spans="1:14">
      <c r="A130" s="14" t="s">
        <v>195</v>
      </c>
      <c r="B130" s="15">
        <v>46101.077210648145</v>
      </c>
      <c r="C130" s="14" t="s">
        <v>25</v>
      </c>
      <c r="D130" s="14" t="s">
        <v>52</v>
      </c>
      <c r="E130" s="14">
        <v>6359</v>
      </c>
      <c r="F130" s="14" t="s">
        <v>68</v>
      </c>
      <c r="G130" s="14">
        <v>1</v>
      </c>
      <c r="H130" s="14" t="s">
        <v>9</v>
      </c>
      <c r="I130" s="5" t="str">
        <f>_xlfn.XLOOKUP(C130, CustomersTable[customer_id], CustomersTable[customer_segment])</f>
        <v>Retail</v>
      </c>
      <c r="J130" s="5" t="str">
        <f>_xlfn.XLOOKUP(D130,ChannelsTable[channel_id],ChannelsTable[channel_name])</f>
        <v>ONLINE</v>
      </c>
      <c r="K130" s="5">
        <f>_xlfn.XLOOKUP(C130, CustomersTable[customer_id], CustomersTable[account_age_days])</f>
        <v>450</v>
      </c>
      <c r="L13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30" s="5" t="str" cm="1">
        <f t="array" ref="M130">_xlfn.IFS(AND(L130="HIGH_RISK", OR(I130="VIP", I130="Corporate")), "URGENT",AND(L130="HIGH_RISK", I130="Retail"), "HIGH",F130="DECLINED", "MEDIUM",TRUE, "LOW")</f>
        <v>HIGH</v>
      </c>
      <c r="N130" s="5">
        <f>_xlfn.XLOOKUP(TransactionsTable[[#This Row],[customer_id]],Table4[customer_id],Table4[risk_score])</f>
        <v>0</v>
      </c>
    </row>
    <row r="131" spans="1:14">
      <c r="A131" s="14" t="s">
        <v>196</v>
      </c>
      <c r="B131" s="15">
        <v>46101.125763888886</v>
      </c>
      <c r="C131" s="14" t="s">
        <v>29</v>
      </c>
      <c r="D131" s="14" t="s">
        <v>50</v>
      </c>
      <c r="E131" s="14">
        <v>3734</v>
      </c>
      <c r="F131" s="14" t="s">
        <v>66</v>
      </c>
      <c r="G131" s="14">
        <v>1</v>
      </c>
      <c r="H131" s="14" t="s">
        <v>12</v>
      </c>
      <c r="I131" s="5" t="str">
        <f>_xlfn.XLOOKUP(C131, CustomersTable[customer_id], CustomersTable[customer_segment])</f>
        <v>Retail</v>
      </c>
      <c r="J131" s="5" t="str">
        <f>_xlfn.XLOOKUP(D131,ChannelsTable[channel_id],ChannelsTable[channel_name])</f>
        <v>POS</v>
      </c>
      <c r="K131" s="5">
        <f>_xlfn.XLOOKUP(C131, CustomersTable[customer_id], CustomersTable[account_age_days])</f>
        <v>320</v>
      </c>
      <c r="L13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31" s="5" t="str" cm="1">
        <f t="array" ref="M131">_xlfn.IFS(AND(L131="HIGH_RISK", OR(I131="VIP", I131="Corporate")), "URGENT",AND(L131="HIGH_RISK", I131="Retail"), "HIGH",F131="DECLINED", "MEDIUM",TRUE, "LOW")</f>
        <v>HIGH</v>
      </c>
      <c r="N131" s="5">
        <f>_xlfn.XLOOKUP(TransactionsTable[[#This Row],[customer_id]],Table4[customer_id],Table4[risk_score])</f>
        <v>2</v>
      </c>
    </row>
    <row r="132" spans="1:14">
      <c r="A132" s="14" t="s">
        <v>197</v>
      </c>
      <c r="B132" s="15">
        <v>46101.479791666665</v>
      </c>
      <c r="C132" s="14" t="s">
        <v>39</v>
      </c>
      <c r="D132" s="14" t="s">
        <v>54</v>
      </c>
      <c r="E132" s="14">
        <v>1390</v>
      </c>
      <c r="F132" s="14" t="s">
        <v>68</v>
      </c>
      <c r="G132" s="14">
        <v>0</v>
      </c>
      <c r="H132" s="14" t="s">
        <v>9</v>
      </c>
      <c r="I132" s="5" t="str">
        <f>_xlfn.XLOOKUP(C132, CustomersTable[customer_id], CustomersTable[customer_segment])</f>
        <v>Retail</v>
      </c>
      <c r="J132" s="5" t="str">
        <f>_xlfn.XLOOKUP(D132,ChannelsTable[channel_id],ChannelsTable[channel_name])</f>
        <v>MOBILE</v>
      </c>
      <c r="K132" s="5">
        <f>_xlfn.XLOOKUP(C132, CustomersTable[customer_id], CustomersTable[account_age_days])</f>
        <v>544</v>
      </c>
      <c r="L13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2" s="5" t="str" cm="1">
        <f t="array" ref="M132">_xlfn.IFS(AND(L132="HIGH_RISK", OR(I132="VIP", I132="Corporate")), "URGENT",AND(L132="HIGH_RISK", I132="Retail"), "HIGH",F132="DECLINED", "MEDIUM",TRUE, "LOW")</f>
        <v>MEDIUM</v>
      </c>
      <c r="N132" s="5">
        <f>_xlfn.XLOOKUP(TransactionsTable[[#This Row],[customer_id]],Table4[customer_id],Table4[risk_score])</f>
        <v>0</v>
      </c>
    </row>
    <row r="133" spans="1:14">
      <c r="A133" s="14" t="s">
        <v>198</v>
      </c>
      <c r="B133" s="15">
        <v>46101.709780092591</v>
      </c>
      <c r="C133" s="14" t="s">
        <v>34</v>
      </c>
      <c r="D133" s="14" t="s">
        <v>48</v>
      </c>
      <c r="E133" s="14">
        <v>3737</v>
      </c>
      <c r="F133" s="14" t="s">
        <v>66</v>
      </c>
      <c r="G133" s="14">
        <v>0</v>
      </c>
      <c r="H133" s="14" t="s">
        <v>8</v>
      </c>
      <c r="I133" s="5" t="str">
        <f>_xlfn.XLOOKUP(C133, CustomersTable[customer_id], CustomersTable[customer_segment])</f>
        <v>Retail</v>
      </c>
      <c r="J133" s="5" t="str">
        <f>_xlfn.XLOOKUP(D133,ChannelsTable[channel_id],ChannelsTable[channel_name])</f>
        <v>ATM</v>
      </c>
      <c r="K133" s="5">
        <f>_xlfn.XLOOKUP(C133, CustomersTable[customer_id], CustomersTable[account_age_days])</f>
        <v>60</v>
      </c>
      <c r="L13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3" s="5" t="str" cm="1">
        <f t="array" ref="M133">_xlfn.IFS(AND(L133="HIGH_RISK", OR(I133="VIP", I133="Corporate")), "URGENT",AND(L133="HIGH_RISK", I133="Retail"), "HIGH",F133="DECLINED", "MEDIUM",TRUE, "LOW")</f>
        <v>LOW</v>
      </c>
      <c r="N133" s="5">
        <f>_xlfn.XLOOKUP(TransactionsTable[[#This Row],[customer_id]],Table4[customer_id],Table4[risk_score])</f>
        <v>3</v>
      </c>
    </row>
    <row r="134" spans="1:14">
      <c r="A134" s="14" t="s">
        <v>199</v>
      </c>
      <c r="B134" s="15">
        <v>46101.916041666664</v>
      </c>
      <c r="C134" s="14" t="s">
        <v>27</v>
      </c>
      <c r="D134" s="14" t="s">
        <v>54</v>
      </c>
      <c r="E134" s="14">
        <v>831</v>
      </c>
      <c r="F134" s="14" t="s">
        <v>66</v>
      </c>
      <c r="G134" s="14">
        <v>0</v>
      </c>
      <c r="H134" s="14" t="s">
        <v>10</v>
      </c>
      <c r="I134" s="5" t="str">
        <f>_xlfn.XLOOKUP(C134, CustomersTable[customer_id], CustomersTable[customer_segment])</f>
        <v>Retail</v>
      </c>
      <c r="J134" s="5" t="str">
        <f>_xlfn.XLOOKUP(D134,ChannelsTable[channel_id],ChannelsTable[channel_name])</f>
        <v>MOBILE</v>
      </c>
      <c r="K134" s="5">
        <f>_xlfn.XLOOKUP(C134, CustomersTable[customer_id], CustomersTable[account_age_days])</f>
        <v>15</v>
      </c>
      <c r="L13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4" s="5" t="str" cm="1">
        <f t="array" ref="M134">_xlfn.IFS(AND(L134="HIGH_RISK", OR(I134="VIP", I134="Corporate")), "URGENT",AND(L134="HIGH_RISK", I134="Retail"), "HIGH",F134="DECLINED", "MEDIUM",TRUE, "LOW")</f>
        <v>LOW</v>
      </c>
      <c r="N134" s="5">
        <f>_xlfn.XLOOKUP(TransactionsTable[[#This Row],[customer_id]],Table4[customer_id],Table4[risk_score])</f>
        <v>3</v>
      </c>
    </row>
    <row r="135" spans="1:14">
      <c r="A135" s="14" t="s">
        <v>200</v>
      </c>
      <c r="B135" s="15">
        <v>46101.923981481479</v>
      </c>
      <c r="C135" s="14" t="s">
        <v>29</v>
      </c>
      <c r="D135" s="14" t="s">
        <v>52</v>
      </c>
      <c r="E135" s="14">
        <v>3255</v>
      </c>
      <c r="F135" s="14" t="s">
        <v>66</v>
      </c>
      <c r="G135" s="14">
        <v>1</v>
      </c>
      <c r="H135" s="14" t="s">
        <v>10</v>
      </c>
      <c r="I135" s="5" t="str">
        <f>_xlfn.XLOOKUP(C135, CustomersTable[customer_id], CustomersTable[customer_segment])</f>
        <v>Retail</v>
      </c>
      <c r="J135" s="5" t="str">
        <f>_xlfn.XLOOKUP(D135,ChannelsTable[channel_id],ChannelsTable[channel_name])</f>
        <v>ONLINE</v>
      </c>
      <c r="K135" s="5">
        <f>_xlfn.XLOOKUP(C135, CustomersTable[customer_id], CustomersTable[account_age_days])</f>
        <v>320</v>
      </c>
      <c r="L13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35" s="5" t="str" cm="1">
        <f t="array" ref="M135">_xlfn.IFS(AND(L135="HIGH_RISK", OR(I135="VIP", I135="Corporate")), "URGENT",AND(L135="HIGH_RISK", I135="Retail"), "HIGH",F135="DECLINED", "MEDIUM",TRUE, "LOW")</f>
        <v>HIGH</v>
      </c>
      <c r="N135" s="5">
        <f>_xlfn.XLOOKUP(TransactionsTable[[#This Row],[customer_id]],Table4[customer_id],Table4[risk_score])</f>
        <v>2</v>
      </c>
    </row>
    <row r="136" spans="1:14">
      <c r="A136" s="14" t="s">
        <v>201</v>
      </c>
      <c r="B136" s="15">
        <v>46102.250532407408</v>
      </c>
      <c r="C136" s="14" t="s">
        <v>40</v>
      </c>
      <c r="D136" s="14" t="s">
        <v>52</v>
      </c>
      <c r="E136" s="14">
        <v>583</v>
      </c>
      <c r="F136" s="14" t="s">
        <v>66</v>
      </c>
      <c r="G136" s="14">
        <v>0</v>
      </c>
      <c r="H136" s="14" t="s">
        <v>12</v>
      </c>
      <c r="I136" s="5" t="str">
        <f>_xlfn.XLOOKUP(C136, CustomersTable[customer_id], CustomersTable[customer_segment])</f>
        <v>VIP</v>
      </c>
      <c r="J136" s="5" t="str">
        <f>_xlfn.XLOOKUP(D136,ChannelsTable[channel_id],ChannelsTable[channel_name])</f>
        <v>ONLINE</v>
      </c>
      <c r="K136" s="5">
        <f>_xlfn.XLOOKUP(C136, CustomersTable[customer_id], CustomersTable[account_age_days])</f>
        <v>1560</v>
      </c>
      <c r="L13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6" s="5" t="str" cm="1">
        <f t="array" ref="M136">_xlfn.IFS(AND(L136="HIGH_RISK", OR(I136="VIP", I136="Corporate")), "URGENT",AND(L136="HIGH_RISK", I136="Retail"), "HIGH",F136="DECLINED", "MEDIUM",TRUE, "LOW")</f>
        <v>LOW</v>
      </c>
      <c r="N136" s="5">
        <f>_xlfn.XLOOKUP(TransactionsTable[[#This Row],[customer_id]],Table4[customer_id],Table4[risk_score])</f>
        <v>0</v>
      </c>
    </row>
    <row r="137" spans="1:14">
      <c r="A137" s="14" t="s">
        <v>202</v>
      </c>
      <c r="B137" s="15">
        <v>46102.562199074076</v>
      </c>
      <c r="C137" s="14" t="s">
        <v>34</v>
      </c>
      <c r="D137" s="14" t="s">
        <v>52</v>
      </c>
      <c r="E137" s="14">
        <v>3826</v>
      </c>
      <c r="F137" s="14" t="s">
        <v>66</v>
      </c>
      <c r="G137" s="14">
        <v>0</v>
      </c>
      <c r="H137" s="14" t="s">
        <v>10</v>
      </c>
      <c r="I137" s="5" t="str">
        <f>_xlfn.XLOOKUP(C137, CustomersTable[customer_id], CustomersTable[customer_segment])</f>
        <v>Retail</v>
      </c>
      <c r="J137" s="5" t="str">
        <f>_xlfn.XLOOKUP(D137,ChannelsTable[channel_id],ChannelsTable[channel_name])</f>
        <v>ONLINE</v>
      </c>
      <c r="K137" s="5">
        <f>_xlfn.XLOOKUP(C137, CustomersTable[customer_id], CustomersTable[account_age_days])</f>
        <v>60</v>
      </c>
      <c r="L13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7" s="5" t="str" cm="1">
        <f t="array" ref="M137">_xlfn.IFS(AND(L137="HIGH_RISK", OR(I137="VIP", I137="Corporate")), "URGENT",AND(L137="HIGH_RISK", I137="Retail"), "HIGH",F137="DECLINED", "MEDIUM",TRUE, "LOW")</f>
        <v>LOW</v>
      </c>
      <c r="N137" s="5">
        <f>_xlfn.XLOOKUP(TransactionsTable[[#This Row],[customer_id]],Table4[customer_id],Table4[risk_score])</f>
        <v>3</v>
      </c>
    </row>
    <row r="138" spans="1:14">
      <c r="A138" s="14" t="s">
        <v>203</v>
      </c>
      <c r="B138" s="15">
        <v>46102.88071759259</v>
      </c>
      <c r="C138" s="14" t="s">
        <v>41</v>
      </c>
      <c r="D138" s="14" t="s">
        <v>52</v>
      </c>
      <c r="E138" s="14">
        <v>1796</v>
      </c>
      <c r="F138" s="14" t="s">
        <v>66</v>
      </c>
      <c r="G138" s="14">
        <v>0</v>
      </c>
      <c r="H138" s="14" t="s">
        <v>12</v>
      </c>
      <c r="I138" s="5" t="str">
        <f>_xlfn.XLOOKUP(C138, CustomersTable[customer_id], CustomersTable[customer_segment])</f>
        <v>VIP</v>
      </c>
      <c r="J138" s="5" t="str">
        <f>_xlfn.XLOOKUP(D138,ChannelsTable[channel_id],ChannelsTable[channel_name])</f>
        <v>ONLINE</v>
      </c>
      <c r="K138" s="5">
        <f>_xlfn.XLOOKUP(C138, CustomersTable[customer_id], CustomersTable[account_age_days])</f>
        <v>845</v>
      </c>
      <c r="L13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38" s="5" t="str" cm="1">
        <f t="array" ref="M138">_xlfn.IFS(AND(L138="HIGH_RISK", OR(I138="VIP", I138="Corporate")), "URGENT",AND(L138="HIGH_RISK", I138="Retail"), "HIGH",F138="DECLINED", "MEDIUM",TRUE, "LOW")</f>
        <v>LOW</v>
      </c>
      <c r="N138" s="5">
        <f>_xlfn.XLOOKUP(TransactionsTable[[#This Row],[customer_id]],Table4[customer_id],Table4[risk_score])</f>
        <v>0</v>
      </c>
    </row>
    <row r="139" spans="1:14">
      <c r="A139" s="14" t="s">
        <v>204</v>
      </c>
      <c r="B139" s="15">
        <v>46103.044629629629</v>
      </c>
      <c r="C139" s="14" t="s">
        <v>27</v>
      </c>
      <c r="D139" s="14" t="s">
        <v>52</v>
      </c>
      <c r="E139" s="14">
        <v>3532</v>
      </c>
      <c r="F139" s="14" t="s">
        <v>66</v>
      </c>
      <c r="G139" s="14">
        <v>1</v>
      </c>
      <c r="H139" s="14" t="s">
        <v>8</v>
      </c>
      <c r="I139" s="5" t="str">
        <f>_xlfn.XLOOKUP(C139, CustomersTable[customer_id], CustomersTable[customer_segment])</f>
        <v>Retail</v>
      </c>
      <c r="J139" s="5" t="str">
        <f>_xlfn.XLOOKUP(D139,ChannelsTable[channel_id],ChannelsTable[channel_name])</f>
        <v>ONLINE</v>
      </c>
      <c r="K139" s="5">
        <f>_xlfn.XLOOKUP(C139, CustomersTable[customer_id], CustomersTable[account_age_days])</f>
        <v>15</v>
      </c>
      <c r="L13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39" s="5" t="str" cm="1">
        <f t="array" ref="M139">_xlfn.IFS(AND(L139="HIGH_RISK", OR(I139="VIP", I139="Corporate")), "URGENT",AND(L139="HIGH_RISK", I139="Retail"), "HIGH",F139="DECLINED", "MEDIUM",TRUE, "LOW")</f>
        <v>HIGH</v>
      </c>
      <c r="N139" s="5">
        <f>_xlfn.XLOOKUP(TransactionsTable[[#This Row],[customer_id]],Table4[customer_id],Table4[risk_score])</f>
        <v>3</v>
      </c>
    </row>
    <row r="140" spans="1:14">
      <c r="A140" s="14" t="s">
        <v>205</v>
      </c>
      <c r="B140" s="15">
        <v>46103.354560185187</v>
      </c>
      <c r="C140" s="14" t="s">
        <v>38</v>
      </c>
      <c r="D140" s="14" t="s">
        <v>48</v>
      </c>
      <c r="E140" s="14">
        <v>6120</v>
      </c>
      <c r="F140" s="14" t="s">
        <v>66</v>
      </c>
      <c r="G140" s="14">
        <v>0</v>
      </c>
      <c r="H140" s="14" t="s">
        <v>9</v>
      </c>
      <c r="I140" s="5" t="str">
        <f>_xlfn.XLOOKUP(C140, CustomersTable[customer_id], CustomersTable[customer_segment])</f>
        <v>Corporate</v>
      </c>
      <c r="J140" s="5" t="str">
        <f>_xlfn.XLOOKUP(D140,ChannelsTable[channel_id],ChannelsTable[channel_name])</f>
        <v>ATM</v>
      </c>
      <c r="K140" s="5">
        <f>_xlfn.XLOOKUP(C140, CustomersTable[customer_id], CustomersTable[account_age_days])</f>
        <v>762</v>
      </c>
      <c r="L14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0" s="5" t="str" cm="1">
        <f t="array" ref="M140">_xlfn.IFS(AND(L140="HIGH_RISK", OR(I140="VIP", I140="Corporate")), "URGENT",AND(L140="HIGH_RISK", I140="Retail"), "HIGH",F140="DECLINED", "MEDIUM",TRUE, "LOW")</f>
        <v>LOW</v>
      </c>
      <c r="N140" s="5">
        <f>_xlfn.XLOOKUP(TransactionsTable[[#This Row],[customer_id]],Table4[customer_id],Table4[risk_score])</f>
        <v>0</v>
      </c>
    </row>
    <row r="141" spans="1:14">
      <c r="A141" s="14" t="s">
        <v>206</v>
      </c>
      <c r="B141" s="15">
        <v>46103.446296296293</v>
      </c>
      <c r="C141" s="14" t="s">
        <v>43</v>
      </c>
      <c r="D141" s="14" t="s">
        <v>52</v>
      </c>
      <c r="E141" s="14">
        <v>15638</v>
      </c>
      <c r="F141" s="14" t="s">
        <v>66</v>
      </c>
      <c r="G141" s="14">
        <v>0</v>
      </c>
      <c r="H141" s="14" t="s">
        <v>12</v>
      </c>
      <c r="I141" s="5" t="str">
        <f>_xlfn.XLOOKUP(C141, CustomersTable[customer_id], CustomersTable[customer_segment])</f>
        <v>Retail</v>
      </c>
      <c r="J141" s="5" t="str">
        <f>_xlfn.XLOOKUP(D141,ChannelsTable[channel_id],ChannelsTable[channel_name])</f>
        <v>ONLINE</v>
      </c>
      <c r="K141" s="5">
        <f>_xlfn.XLOOKUP(C141, CustomersTable[customer_id], CustomersTable[account_age_days])</f>
        <v>442</v>
      </c>
      <c r="L14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1" s="5" t="str" cm="1">
        <f t="array" ref="M141">_xlfn.IFS(AND(L141="HIGH_RISK", OR(I141="VIP", I141="Corporate")), "URGENT",AND(L141="HIGH_RISK", I141="Retail"), "HIGH",F141="DECLINED", "MEDIUM",TRUE, "LOW")</f>
        <v>LOW</v>
      </c>
      <c r="N141" s="5">
        <f>_xlfn.XLOOKUP(TransactionsTable[[#This Row],[customer_id]],Table4[customer_id],Table4[risk_score])</f>
        <v>1</v>
      </c>
    </row>
    <row r="142" spans="1:14">
      <c r="A142" s="14" t="s">
        <v>207</v>
      </c>
      <c r="B142" s="15">
        <v>46103.645185185182</v>
      </c>
      <c r="C142" s="14" t="s">
        <v>37</v>
      </c>
      <c r="D142" s="14" t="s">
        <v>54</v>
      </c>
      <c r="E142" s="14">
        <v>2745</v>
      </c>
      <c r="F142" s="14" t="s">
        <v>66</v>
      </c>
      <c r="G142" s="14">
        <v>0</v>
      </c>
      <c r="H142" s="14" t="s">
        <v>9</v>
      </c>
      <c r="I142" s="5" t="str">
        <f>_xlfn.XLOOKUP(C142, CustomersTable[customer_id], CustomersTable[customer_segment])</f>
        <v>Retail</v>
      </c>
      <c r="J142" s="5" t="str">
        <f>_xlfn.XLOOKUP(D142,ChannelsTable[channel_id],ChannelsTable[channel_name])</f>
        <v>MOBILE</v>
      </c>
      <c r="K142" s="5">
        <f>_xlfn.XLOOKUP(C142, CustomersTable[customer_id], CustomersTable[account_age_days])</f>
        <v>10</v>
      </c>
      <c r="L14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2" s="5" t="str" cm="1">
        <f t="array" ref="M142">_xlfn.IFS(AND(L142="HIGH_RISK", OR(I142="VIP", I142="Corporate")), "URGENT",AND(L142="HIGH_RISK", I142="Retail"), "HIGH",F142="DECLINED", "MEDIUM",TRUE, "LOW")</f>
        <v>LOW</v>
      </c>
      <c r="N142" s="5">
        <f>_xlfn.XLOOKUP(TransactionsTable[[#This Row],[customer_id]],Table4[customer_id],Table4[risk_score])</f>
        <v>0</v>
      </c>
    </row>
    <row r="143" spans="1:14">
      <c r="A143" s="14" t="s">
        <v>208</v>
      </c>
      <c r="B143" s="15">
        <v>46103.732905092591</v>
      </c>
      <c r="C143" s="14" t="s">
        <v>34</v>
      </c>
      <c r="D143" s="14" t="s">
        <v>52</v>
      </c>
      <c r="E143" s="14">
        <v>15463</v>
      </c>
      <c r="F143" s="14" t="s">
        <v>66</v>
      </c>
      <c r="G143" s="14">
        <v>0</v>
      </c>
      <c r="H143" s="14" t="s">
        <v>9</v>
      </c>
      <c r="I143" s="5" t="str">
        <f>_xlfn.XLOOKUP(C143, CustomersTable[customer_id], CustomersTable[customer_segment])</f>
        <v>Retail</v>
      </c>
      <c r="J143" s="5" t="str">
        <f>_xlfn.XLOOKUP(D143,ChannelsTable[channel_id],ChannelsTable[channel_name])</f>
        <v>ONLINE</v>
      </c>
      <c r="K143" s="5">
        <f>_xlfn.XLOOKUP(C143, CustomersTable[customer_id], CustomersTable[account_age_days])</f>
        <v>60</v>
      </c>
      <c r="L14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3" s="5" t="str" cm="1">
        <f t="array" ref="M143">_xlfn.IFS(AND(L143="HIGH_RISK", OR(I143="VIP", I143="Corporate")), "URGENT",AND(L143="HIGH_RISK", I143="Retail"), "HIGH",F143="DECLINED", "MEDIUM",TRUE, "LOW")</f>
        <v>LOW</v>
      </c>
      <c r="N143" s="5">
        <f>_xlfn.XLOOKUP(TransactionsTable[[#This Row],[customer_id]],Table4[customer_id],Table4[risk_score])</f>
        <v>3</v>
      </c>
    </row>
    <row r="144" spans="1:14">
      <c r="A144" s="14" t="s">
        <v>209</v>
      </c>
      <c r="B144" s="15">
        <v>46103.796030092592</v>
      </c>
      <c r="C144" s="14" t="s">
        <v>35</v>
      </c>
      <c r="D144" s="14" t="s">
        <v>54</v>
      </c>
      <c r="E144" s="14">
        <v>673</v>
      </c>
      <c r="F144" s="14" t="s">
        <v>68</v>
      </c>
      <c r="G144" s="14">
        <v>0</v>
      </c>
      <c r="H144" s="14" t="s">
        <v>10</v>
      </c>
      <c r="I144" s="5" t="str">
        <f>_xlfn.XLOOKUP(C144, CustomersTable[customer_id], CustomersTable[customer_segment])</f>
        <v>VIP</v>
      </c>
      <c r="J144" s="5" t="str">
        <f>_xlfn.XLOOKUP(D144,ChannelsTable[channel_id],ChannelsTable[channel_name])</f>
        <v>MOBILE</v>
      </c>
      <c r="K144" s="5">
        <f>_xlfn.XLOOKUP(C144, CustomersTable[customer_id], CustomersTable[account_age_days])</f>
        <v>950</v>
      </c>
      <c r="L14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44" s="5" t="str" cm="1">
        <f t="array" ref="M144">_xlfn.IFS(AND(L144="HIGH_RISK", OR(I144="VIP", I144="Corporate")), "URGENT",AND(L144="HIGH_RISK", I144="Retail"), "HIGH",F144="DECLINED", "MEDIUM",TRUE, "LOW")</f>
        <v>URGENT</v>
      </c>
      <c r="N144" s="5">
        <f>_xlfn.XLOOKUP(TransactionsTable[[#This Row],[customer_id]],Table4[customer_id],Table4[risk_score])</f>
        <v>1</v>
      </c>
    </row>
    <row r="145" spans="1:14">
      <c r="A145" s="14" t="s">
        <v>210</v>
      </c>
      <c r="B145" s="15">
        <v>46103.799641203703</v>
      </c>
      <c r="C145" s="14" t="s">
        <v>27</v>
      </c>
      <c r="D145" s="14" t="s">
        <v>54</v>
      </c>
      <c r="E145" s="14">
        <v>1026</v>
      </c>
      <c r="F145" s="14" t="s">
        <v>66</v>
      </c>
      <c r="G145" s="14">
        <v>0</v>
      </c>
      <c r="H145" s="14" t="s">
        <v>9</v>
      </c>
      <c r="I145" s="5" t="str">
        <f>_xlfn.XLOOKUP(C145, CustomersTable[customer_id], CustomersTable[customer_segment])</f>
        <v>Retail</v>
      </c>
      <c r="J145" s="5" t="str">
        <f>_xlfn.XLOOKUP(D145,ChannelsTable[channel_id],ChannelsTable[channel_name])</f>
        <v>MOBILE</v>
      </c>
      <c r="K145" s="5">
        <f>_xlfn.XLOOKUP(C145, CustomersTable[customer_id], CustomersTable[account_age_days])</f>
        <v>15</v>
      </c>
      <c r="L14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5" s="5" t="str" cm="1">
        <f t="array" ref="M145">_xlfn.IFS(AND(L145="HIGH_RISK", OR(I145="VIP", I145="Corporate")), "URGENT",AND(L145="HIGH_RISK", I145="Retail"), "HIGH",F145="DECLINED", "MEDIUM",TRUE, "LOW")</f>
        <v>LOW</v>
      </c>
      <c r="N145" s="5">
        <f>_xlfn.XLOOKUP(TransactionsTable[[#This Row],[customer_id]],Table4[customer_id],Table4[risk_score])</f>
        <v>3</v>
      </c>
    </row>
    <row r="146" spans="1:14">
      <c r="A146" s="14" t="s">
        <v>211</v>
      </c>
      <c r="B146" s="15">
        <v>46104.315983796296</v>
      </c>
      <c r="C146" s="14" t="s">
        <v>35</v>
      </c>
      <c r="D146" s="14" t="s">
        <v>54</v>
      </c>
      <c r="E146" s="14">
        <v>3529</v>
      </c>
      <c r="F146" s="14" t="s">
        <v>66</v>
      </c>
      <c r="G146" s="14">
        <v>0</v>
      </c>
      <c r="H146" s="14" t="s">
        <v>9</v>
      </c>
      <c r="I146" s="5" t="str">
        <f>_xlfn.XLOOKUP(C146, CustomersTable[customer_id], CustomersTable[customer_segment])</f>
        <v>VIP</v>
      </c>
      <c r="J146" s="5" t="str">
        <f>_xlfn.XLOOKUP(D146,ChannelsTable[channel_id],ChannelsTable[channel_name])</f>
        <v>MOBILE</v>
      </c>
      <c r="K146" s="5">
        <f>_xlfn.XLOOKUP(C146, CustomersTable[customer_id], CustomersTable[account_age_days])</f>
        <v>950</v>
      </c>
      <c r="L14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6" s="5" t="str" cm="1">
        <f t="array" ref="M146">_xlfn.IFS(AND(L146="HIGH_RISK", OR(I146="VIP", I146="Corporate")), "URGENT",AND(L146="HIGH_RISK", I146="Retail"), "HIGH",F146="DECLINED", "MEDIUM",TRUE, "LOW")</f>
        <v>LOW</v>
      </c>
      <c r="N146" s="5">
        <f>_xlfn.XLOOKUP(TransactionsTable[[#This Row],[customer_id]],Table4[customer_id],Table4[risk_score])</f>
        <v>1</v>
      </c>
    </row>
    <row r="147" spans="1:14">
      <c r="A147" s="14" t="s">
        <v>212</v>
      </c>
      <c r="B147" s="15">
        <v>46104.407951388886</v>
      </c>
      <c r="C147" s="14" t="s">
        <v>35</v>
      </c>
      <c r="D147" s="14" t="s">
        <v>48</v>
      </c>
      <c r="E147" s="14">
        <v>18712</v>
      </c>
      <c r="F147" s="14" t="s">
        <v>68</v>
      </c>
      <c r="G147" s="14">
        <v>0</v>
      </c>
      <c r="H147" s="14" t="s">
        <v>10</v>
      </c>
      <c r="I147" s="5" t="str">
        <f>_xlfn.XLOOKUP(C147, CustomersTable[customer_id], CustomersTable[customer_segment])</f>
        <v>VIP</v>
      </c>
      <c r="J147" s="5" t="str">
        <f>_xlfn.XLOOKUP(D147,ChannelsTable[channel_id],ChannelsTable[channel_name])</f>
        <v>ATM</v>
      </c>
      <c r="K147" s="5">
        <f>_xlfn.XLOOKUP(C147, CustomersTable[customer_id], CustomersTable[account_age_days])</f>
        <v>950</v>
      </c>
      <c r="L14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47" s="5" t="str" cm="1">
        <f t="array" ref="M147">_xlfn.IFS(AND(L147="HIGH_RISK", OR(I147="VIP", I147="Corporate")), "URGENT",AND(L147="HIGH_RISK", I147="Retail"), "HIGH",F147="DECLINED", "MEDIUM",TRUE, "LOW")</f>
        <v>URGENT</v>
      </c>
      <c r="N147" s="5">
        <f>_xlfn.XLOOKUP(TransactionsTable[[#This Row],[customer_id]],Table4[customer_id],Table4[risk_score])</f>
        <v>1</v>
      </c>
    </row>
    <row r="148" spans="1:14">
      <c r="A148" s="14" t="s">
        <v>213</v>
      </c>
      <c r="B148" s="15">
        <v>46104.445902777778</v>
      </c>
      <c r="C148" s="14" t="s">
        <v>36</v>
      </c>
      <c r="D148" s="14" t="s">
        <v>50</v>
      </c>
      <c r="E148" s="14">
        <v>147</v>
      </c>
      <c r="F148" s="14" t="s">
        <v>66</v>
      </c>
      <c r="G148" s="14">
        <v>0</v>
      </c>
      <c r="H148" s="14" t="s">
        <v>10</v>
      </c>
      <c r="I148" s="5" t="str">
        <f>_xlfn.XLOOKUP(C148, CustomersTable[customer_id], CustomersTable[customer_segment])</f>
        <v>Retail</v>
      </c>
      <c r="J148" s="5" t="str">
        <f>_xlfn.XLOOKUP(D148,ChannelsTable[channel_id],ChannelsTable[channel_name])</f>
        <v>POS</v>
      </c>
      <c r="K148" s="5">
        <f>_xlfn.XLOOKUP(C148, CustomersTable[customer_id], CustomersTable[account_age_days])</f>
        <v>66</v>
      </c>
      <c r="L14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8" s="5" t="str" cm="1">
        <f t="array" ref="M148">_xlfn.IFS(AND(L148="HIGH_RISK", OR(I148="VIP", I148="Corporate")), "URGENT",AND(L148="HIGH_RISK", I148="Retail"), "HIGH",F148="DECLINED", "MEDIUM",TRUE, "LOW")</f>
        <v>LOW</v>
      </c>
      <c r="N148" s="5">
        <f>_xlfn.XLOOKUP(TransactionsTable[[#This Row],[customer_id]],Table4[customer_id],Table4[risk_score])</f>
        <v>2</v>
      </c>
    </row>
    <row r="149" spans="1:14">
      <c r="A149" s="14" t="s">
        <v>214</v>
      </c>
      <c r="B149" s="15">
        <v>46104.569050925929</v>
      </c>
      <c r="C149" s="14" t="s">
        <v>39</v>
      </c>
      <c r="D149" s="14" t="s">
        <v>54</v>
      </c>
      <c r="E149" s="14">
        <v>3648</v>
      </c>
      <c r="F149" s="14" t="s">
        <v>66</v>
      </c>
      <c r="G149" s="14">
        <v>0</v>
      </c>
      <c r="H149" s="14" t="s">
        <v>8</v>
      </c>
      <c r="I149" s="5" t="str">
        <f>_xlfn.XLOOKUP(C149, CustomersTable[customer_id], CustomersTable[customer_segment])</f>
        <v>Retail</v>
      </c>
      <c r="J149" s="5" t="str">
        <f>_xlfn.XLOOKUP(D149,ChannelsTable[channel_id],ChannelsTable[channel_name])</f>
        <v>MOBILE</v>
      </c>
      <c r="K149" s="5">
        <f>_xlfn.XLOOKUP(C149, CustomersTable[customer_id], CustomersTable[account_age_days])</f>
        <v>544</v>
      </c>
      <c r="L14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49" s="5" t="str" cm="1">
        <f t="array" ref="M149">_xlfn.IFS(AND(L149="HIGH_RISK", OR(I149="VIP", I149="Corporate")), "URGENT",AND(L149="HIGH_RISK", I149="Retail"), "HIGH",F149="DECLINED", "MEDIUM",TRUE, "LOW")</f>
        <v>LOW</v>
      </c>
      <c r="N149" s="5">
        <f>_xlfn.XLOOKUP(TransactionsTable[[#This Row],[customer_id]],Table4[customer_id],Table4[risk_score])</f>
        <v>0</v>
      </c>
    </row>
    <row r="150" spans="1:14">
      <c r="A150" s="14" t="s">
        <v>215</v>
      </c>
      <c r="B150" s="15">
        <v>46104.579872685186</v>
      </c>
      <c r="C150" s="14" t="s">
        <v>39</v>
      </c>
      <c r="D150" s="14" t="s">
        <v>54</v>
      </c>
      <c r="E150" s="14">
        <v>12926</v>
      </c>
      <c r="F150" s="14" t="s">
        <v>66</v>
      </c>
      <c r="G150" s="14">
        <v>0</v>
      </c>
      <c r="H150" s="14" t="s">
        <v>9</v>
      </c>
      <c r="I150" s="5" t="str">
        <f>_xlfn.XLOOKUP(C150, CustomersTable[customer_id], CustomersTable[customer_segment])</f>
        <v>Retail</v>
      </c>
      <c r="J150" s="5" t="str">
        <f>_xlfn.XLOOKUP(D150,ChannelsTable[channel_id],ChannelsTable[channel_name])</f>
        <v>MOBILE</v>
      </c>
      <c r="K150" s="5">
        <f>_xlfn.XLOOKUP(C150, CustomersTable[customer_id], CustomersTable[account_age_days])</f>
        <v>544</v>
      </c>
      <c r="L15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0" s="5" t="str" cm="1">
        <f t="array" ref="M150">_xlfn.IFS(AND(L150="HIGH_RISK", OR(I150="VIP", I150="Corporate")), "URGENT",AND(L150="HIGH_RISK", I150="Retail"), "HIGH",F150="DECLINED", "MEDIUM",TRUE, "LOW")</f>
        <v>LOW</v>
      </c>
      <c r="N150" s="5">
        <f>_xlfn.XLOOKUP(TransactionsTable[[#This Row],[customer_id]],Table4[customer_id],Table4[risk_score])</f>
        <v>0</v>
      </c>
    </row>
    <row r="151" spans="1:14">
      <c r="A151" s="14" t="s">
        <v>216</v>
      </c>
      <c r="B151" s="15">
        <v>46104.869641203702</v>
      </c>
      <c r="C151" s="14" t="s">
        <v>22</v>
      </c>
      <c r="D151" s="14" t="s">
        <v>52</v>
      </c>
      <c r="E151" s="14">
        <v>2925</v>
      </c>
      <c r="F151" s="14" t="s">
        <v>66</v>
      </c>
      <c r="G151" s="14">
        <v>0</v>
      </c>
      <c r="H151" s="14" t="s">
        <v>10</v>
      </c>
      <c r="I151" s="5" t="str">
        <f>_xlfn.XLOOKUP(C151, CustomersTable[customer_id], CustomersTable[customer_segment])</f>
        <v>VIP</v>
      </c>
      <c r="J151" s="5" t="str">
        <f>_xlfn.XLOOKUP(D151,ChannelsTable[channel_id],ChannelsTable[channel_name])</f>
        <v>ONLINE</v>
      </c>
      <c r="K151" s="5">
        <f>_xlfn.XLOOKUP(C151, CustomersTable[customer_id], CustomersTable[account_age_days])</f>
        <v>1200</v>
      </c>
      <c r="L15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1" s="5" t="str" cm="1">
        <f t="array" ref="M151">_xlfn.IFS(AND(L151="HIGH_RISK", OR(I151="VIP", I151="Corporate")), "URGENT",AND(L151="HIGH_RISK", I151="Retail"), "HIGH",F151="DECLINED", "MEDIUM",TRUE, "LOW")</f>
        <v>LOW</v>
      </c>
      <c r="N151" s="5">
        <f>_xlfn.XLOOKUP(TransactionsTable[[#This Row],[customer_id]],Table4[customer_id],Table4[risk_score])</f>
        <v>1</v>
      </c>
    </row>
    <row r="152" spans="1:14">
      <c r="A152" s="14" t="s">
        <v>217</v>
      </c>
      <c r="B152" s="15">
        <v>46104.943981481483</v>
      </c>
      <c r="C152" s="14" t="s">
        <v>41</v>
      </c>
      <c r="D152" s="14" t="s">
        <v>52</v>
      </c>
      <c r="E152" s="14">
        <v>80</v>
      </c>
      <c r="F152" s="14" t="s">
        <v>66</v>
      </c>
      <c r="G152" s="14">
        <v>1</v>
      </c>
      <c r="H152" s="14" t="s">
        <v>12</v>
      </c>
      <c r="I152" s="5" t="str">
        <f>_xlfn.XLOOKUP(C152, CustomersTable[customer_id], CustomersTable[customer_segment])</f>
        <v>VIP</v>
      </c>
      <c r="J152" s="5" t="str">
        <f>_xlfn.XLOOKUP(D152,ChannelsTable[channel_id],ChannelsTable[channel_name])</f>
        <v>ONLINE</v>
      </c>
      <c r="K152" s="5">
        <f>_xlfn.XLOOKUP(C152, CustomersTable[customer_id], CustomersTable[account_age_days])</f>
        <v>845</v>
      </c>
      <c r="L15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2" s="5" t="str" cm="1">
        <f t="array" ref="M152">_xlfn.IFS(AND(L152="HIGH_RISK", OR(I152="VIP", I152="Corporate")), "URGENT",AND(L152="HIGH_RISK", I152="Retail"), "HIGH",F152="DECLINED", "MEDIUM",TRUE, "LOW")</f>
        <v>LOW</v>
      </c>
      <c r="N152" s="5">
        <f>_xlfn.XLOOKUP(TransactionsTable[[#This Row],[customer_id]],Table4[customer_id],Table4[risk_score])</f>
        <v>0</v>
      </c>
    </row>
    <row r="153" spans="1:14">
      <c r="A153" s="14" t="s">
        <v>218</v>
      </c>
      <c r="B153" s="15">
        <v>46105.208981481483</v>
      </c>
      <c r="C153" s="14" t="s">
        <v>31</v>
      </c>
      <c r="D153" s="14" t="s">
        <v>52</v>
      </c>
      <c r="E153" s="14">
        <v>10417</v>
      </c>
      <c r="F153" s="14" t="s">
        <v>68</v>
      </c>
      <c r="G153" s="14">
        <v>1</v>
      </c>
      <c r="H153" s="14" t="s">
        <v>8</v>
      </c>
      <c r="I153" s="5" t="str">
        <f>_xlfn.XLOOKUP(C153, CustomersTable[customer_id], CustomersTable[customer_segment])</f>
        <v>VIP</v>
      </c>
      <c r="J153" s="5" t="str">
        <f>_xlfn.XLOOKUP(D153,ChannelsTable[channel_id],ChannelsTable[channel_name])</f>
        <v>ONLINE</v>
      </c>
      <c r="K153" s="5">
        <f>_xlfn.XLOOKUP(C153, CustomersTable[customer_id], CustomersTable[account_age_days])</f>
        <v>2100</v>
      </c>
      <c r="L15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53" s="5" t="str" cm="1">
        <f t="array" ref="M153">_xlfn.IFS(AND(L153="HIGH_RISK", OR(I153="VIP", I153="Corporate")), "URGENT",AND(L153="HIGH_RISK", I153="Retail"), "HIGH",F153="DECLINED", "MEDIUM",TRUE, "LOW")</f>
        <v>URGENT</v>
      </c>
      <c r="N153" s="5">
        <f>_xlfn.XLOOKUP(TransactionsTable[[#This Row],[customer_id]],Table4[customer_id],Table4[risk_score])</f>
        <v>1</v>
      </c>
    </row>
    <row r="154" spans="1:14">
      <c r="A154" s="14" t="s">
        <v>219</v>
      </c>
      <c r="B154" s="15">
        <v>46105.293761574074</v>
      </c>
      <c r="C154" s="14" t="s">
        <v>31</v>
      </c>
      <c r="D154" s="14" t="s">
        <v>50</v>
      </c>
      <c r="E154" s="14">
        <v>13231</v>
      </c>
      <c r="F154" s="14" t="s">
        <v>68</v>
      </c>
      <c r="G154" s="14">
        <v>0</v>
      </c>
      <c r="H154" s="14" t="s">
        <v>9</v>
      </c>
      <c r="I154" s="5" t="str">
        <f>_xlfn.XLOOKUP(C154, CustomersTable[customer_id], CustomersTable[customer_segment])</f>
        <v>VIP</v>
      </c>
      <c r="J154" s="5" t="str">
        <f>_xlfn.XLOOKUP(D154,ChannelsTable[channel_id],ChannelsTable[channel_name])</f>
        <v>POS</v>
      </c>
      <c r="K154" s="5">
        <f>_xlfn.XLOOKUP(C154, CustomersTable[customer_id], CustomersTable[account_age_days])</f>
        <v>2100</v>
      </c>
      <c r="L15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4" s="5" t="str" cm="1">
        <f t="array" ref="M154">_xlfn.IFS(AND(L154="HIGH_RISK", OR(I154="VIP", I154="Corporate")), "URGENT",AND(L154="HIGH_RISK", I154="Retail"), "HIGH",F154="DECLINED", "MEDIUM",TRUE, "LOW")</f>
        <v>MEDIUM</v>
      </c>
      <c r="N154" s="5">
        <f>_xlfn.XLOOKUP(TransactionsTable[[#This Row],[customer_id]],Table4[customer_id],Table4[risk_score])</f>
        <v>1</v>
      </c>
    </row>
    <row r="155" spans="1:14">
      <c r="A155" s="14" t="s">
        <v>220</v>
      </c>
      <c r="B155" s="15">
        <v>46105.357453703706</v>
      </c>
      <c r="C155" s="14" t="s">
        <v>31</v>
      </c>
      <c r="D155" s="14" t="s">
        <v>50</v>
      </c>
      <c r="E155" s="14">
        <v>2095</v>
      </c>
      <c r="F155" s="14" t="s">
        <v>66</v>
      </c>
      <c r="G155" s="14">
        <v>0</v>
      </c>
      <c r="H155" s="14" t="s">
        <v>9</v>
      </c>
      <c r="I155" s="5" t="str">
        <f>_xlfn.XLOOKUP(C155, CustomersTable[customer_id], CustomersTable[customer_segment])</f>
        <v>VIP</v>
      </c>
      <c r="J155" s="5" t="str">
        <f>_xlfn.XLOOKUP(D155,ChannelsTable[channel_id],ChannelsTable[channel_name])</f>
        <v>POS</v>
      </c>
      <c r="K155" s="5">
        <f>_xlfn.XLOOKUP(C155, CustomersTable[customer_id], CustomersTable[account_age_days])</f>
        <v>2100</v>
      </c>
      <c r="L15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5" s="5" t="str" cm="1">
        <f t="array" ref="M155">_xlfn.IFS(AND(L155="HIGH_RISK", OR(I155="VIP", I155="Corporate")), "URGENT",AND(L155="HIGH_RISK", I155="Retail"), "HIGH",F155="DECLINED", "MEDIUM",TRUE, "LOW")</f>
        <v>LOW</v>
      </c>
      <c r="N155" s="5">
        <f>_xlfn.XLOOKUP(TransactionsTable[[#This Row],[customer_id]],Table4[customer_id],Table4[risk_score])</f>
        <v>1</v>
      </c>
    </row>
    <row r="156" spans="1:14">
      <c r="A156" s="14" t="s">
        <v>221</v>
      </c>
      <c r="B156" s="15">
        <v>46105.400995370372</v>
      </c>
      <c r="C156" s="14" t="s">
        <v>40</v>
      </c>
      <c r="D156" s="14" t="s">
        <v>48</v>
      </c>
      <c r="E156" s="14">
        <v>632</v>
      </c>
      <c r="F156" s="14" t="s">
        <v>66</v>
      </c>
      <c r="G156" s="14">
        <v>0</v>
      </c>
      <c r="H156" s="14" t="s">
        <v>8</v>
      </c>
      <c r="I156" s="5" t="str">
        <f>_xlfn.XLOOKUP(C156, CustomersTable[customer_id], CustomersTable[customer_segment])</f>
        <v>VIP</v>
      </c>
      <c r="J156" s="5" t="str">
        <f>_xlfn.XLOOKUP(D156,ChannelsTable[channel_id],ChannelsTable[channel_name])</f>
        <v>ATM</v>
      </c>
      <c r="K156" s="5">
        <f>_xlfn.XLOOKUP(C156, CustomersTable[customer_id], CustomersTable[account_age_days])</f>
        <v>1560</v>
      </c>
      <c r="L15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6" s="5" t="str" cm="1">
        <f t="array" ref="M156">_xlfn.IFS(AND(L156="HIGH_RISK", OR(I156="VIP", I156="Corporate")), "URGENT",AND(L156="HIGH_RISK", I156="Retail"), "HIGH",F156="DECLINED", "MEDIUM",TRUE, "LOW")</f>
        <v>LOW</v>
      </c>
      <c r="N156" s="5">
        <f>_xlfn.XLOOKUP(TransactionsTable[[#This Row],[customer_id]],Table4[customer_id],Table4[risk_score])</f>
        <v>0</v>
      </c>
    </row>
    <row r="157" spans="1:14">
      <c r="A157" s="14" t="s">
        <v>222</v>
      </c>
      <c r="B157" s="15">
        <v>46105.452013888891</v>
      </c>
      <c r="C157" s="14" t="s">
        <v>42</v>
      </c>
      <c r="D157" s="14" t="s">
        <v>52</v>
      </c>
      <c r="E157" s="14">
        <v>2705</v>
      </c>
      <c r="F157" s="14" t="s">
        <v>68</v>
      </c>
      <c r="G157" s="14">
        <v>0</v>
      </c>
      <c r="H157" s="14" t="s">
        <v>9</v>
      </c>
      <c r="I157" s="5" t="str">
        <f>_xlfn.XLOOKUP(C157, CustomersTable[customer_id], CustomersTable[customer_segment])</f>
        <v>Retail</v>
      </c>
      <c r="J157" s="5" t="str">
        <f>_xlfn.XLOOKUP(D157,ChannelsTable[channel_id],ChannelsTable[channel_name])</f>
        <v>ONLINE</v>
      </c>
      <c r="K157" s="5">
        <f>_xlfn.XLOOKUP(C157, CustomersTable[customer_id], CustomersTable[account_age_days])</f>
        <v>360</v>
      </c>
      <c r="L15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7" s="5" t="str" cm="1">
        <f t="array" ref="M157">_xlfn.IFS(AND(L157="HIGH_RISK", OR(I157="VIP", I157="Corporate")), "URGENT",AND(L157="HIGH_RISK", I157="Retail"), "HIGH",F157="DECLINED", "MEDIUM",TRUE, "LOW")</f>
        <v>MEDIUM</v>
      </c>
      <c r="N157" s="5">
        <f>_xlfn.XLOOKUP(TransactionsTable[[#This Row],[customer_id]],Table4[customer_id],Table4[risk_score])</f>
        <v>1</v>
      </c>
    </row>
    <row r="158" spans="1:14">
      <c r="A158" s="14" t="s">
        <v>223</v>
      </c>
      <c r="B158" s="15">
        <v>46105.652939814812</v>
      </c>
      <c r="C158" s="14" t="s">
        <v>44</v>
      </c>
      <c r="D158" s="14" t="s">
        <v>48</v>
      </c>
      <c r="E158" s="14">
        <v>16372</v>
      </c>
      <c r="F158" s="14" t="s">
        <v>66</v>
      </c>
      <c r="G158" s="14">
        <v>0</v>
      </c>
      <c r="H158" s="14" t="s">
        <v>9</v>
      </c>
      <c r="I158" s="5" t="str">
        <f>_xlfn.XLOOKUP(C158, CustomersTable[customer_id], CustomersTable[customer_segment])</f>
        <v>Corporate</v>
      </c>
      <c r="J158" s="5" t="str">
        <f>_xlfn.XLOOKUP(D158,ChannelsTable[channel_id],ChannelsTable[channel_name])</f>
        <v>ATM</v>
      </c>
      <c r="K158" s="5">
        <f>_xlfn.XLOOKUP(C158, CustomersTable[customer_id], CustomersTable[account_age_days])</f>
        <v>1490</v>
      </c>
      <c r="L15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8" s="5" t="str" cm="1">
        <f t="array" ref="M158">_xlfn.IFS(AND(L158="HIGH_RISK", OR(I158="VIP", I158="Corporate")), "URGENT",AND(L158="HIGH_RISK", I158="Retail"), "HIGH",F158="DECLINED", "MEDIUM",TRUE, "LOW")</f>
        <v>LOW</v>
      </c>
      <c r="N158" s="5">
        <f>_xlfn.XLOOKUP(TransactionsTable[[#This Row],[customer_id]],Table4[customer_id],Table4[risk_score])</f>
        <v>0</v>
      </c>
    </row>
    <row r="159" spans="1:14">
      <c r="A159" s="14" t="s">
        <v>224</v>
      </c>
      <c r="B159" s="15">
        <v>46105.836747685185</v>
      </c>
      <c r="C159" s="14" t="s">
        <v>22</v>
      </c>
      <c r="D159" s="14" t="s">
        <v>48</v>
      </c>
      <c r="E159" s="14">
        <v>1502</v>
      </c>
      <c r="F159" s="14" t="s">
        <v>66</v>
      </c>
      <c r="G159" s="14">
        <v>0</v>
      </c>
      <c r="H159" s="14" t="s">
        <v>11</v>
      </c>
      <c r="I159" s="5" t="str">
        <f>_xlfn.XLOOKUP(C159, CustomersTable[customer_id], CustomersTable[customer_segment])</f>
        <v>VIP</v>
      </c>
      <c r="J159" s="5" t="str">
        <f>_xlfn.XLOOKUP(D159,ChannelsTable[channel_id],ChannelsTable[channel_name])</f>
        <v>ATM</v>
      </c>
      <c r="K159" s="5">
        <f>_xlfn.XLOOKUP(C159, CustomersTable[customer_id], CustomersTable[account_age_days])</f>
        <v>1200</v>
      </c>
      <c r="L15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59" s="5" t="str" cm="1">
        <f t="array" ref="M159">_xlfn.IFS(AND(L159="HIGH_RISK", OR(I159="VIP", I159="Corporate")), "URGENT",AND(L159="HIGH_RISK", I159="Retail"), "HIGH",F159="DECLINED", "MEDIUM",TRUE, "LOW")</f>
        <v>LOW</v>
      </c>
      <c r="N159" s="5">
        <f>_xlfn.XLOOKUP(TransactionsTable[[#This Row],[customer_id]],Table4[customer_id],Table4[risk_score])</f>
        <v>1</v>
      </c>
    </row>
    <row r="160" spans="1:14">
      <c r="A160" s="14" t="s">
        <v>225</v>
      </c>
      <c r="B160" s="15">
        <v>46105.997858796298</v>
      </c>
      <c r="C160" s="14" t="s">
        <v>36</v>
      </c>
      <c r="D160" s="14" t="s">
        <v>48</v>
      </c>
      <c r="E160" s="14">
        <v>3148</v>
      </c>
      <c r="F160" s="14" t="s">
        <v>66</v>
      </c>
      <c r="G160" s="14">
        <v>1</v>
      </c>
      <c r="H160" s="14" t="s">
        <v>10</v>
      </c>
      <c r="I160" s="5" t="str">
        <f>_xlfn.XLOOKUP(C160, CustomersTable[customer_id], CustomersTable[customer_segment])</f>
        <v>Retail</v>
      </c>
      <c r="J160" s="5" t="str">
        <f>_xlfn.XLOOKUP(D160,ChannelsTable[channel_id],ChannelsTable[channel_name])</f>
        <v>ATM</v>
      </c>
      <c r="K160" s="5">
        <f>_xlfn.XLOOKUP(C160, CustomersTable[customer_id], CustomersTable[account_age_days])</f>
        <v>66</v>
      </c>
      <c r="L16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60" s="5" t="str" cm="1">
        <f t="array" ref="M160">_xlfn.IFS(AND(L160="HIGH_RISK", OR(I160="VIP", I160="Corporate")), "URGENT",AND(L160="HIGH_RISK", I160="Retail"), "HIGH",F160="DECLINED", "MEDIUM",TRUE, "LOW")</f>
        <v>HIGH</v>
      </c>
      <c r="N160" s="5">
        <f>_xlfn.XLOOKUP(TransactionsTable[[#This Row],[customer_id]],Table4[customer_id],Table4[risk_score])</f>
        <v>2</v>
      </c>
    </row>
    <row r="161" spans="1:14">
      <c r="A161" s="14" t="s">
        <v>226</v>
      </c>
      <c r="B161" s="15">
        <v>46106.597974537035</v>
      </c>
      <c r="C161" s="14" t="s">
        <v>35</v>
      </c>
      <c r="D161" s="14" t="s">
        <v>48</v>
      </c>
      <c r="E161" s="14">
        <v>516</v>
      </c>
      <c r="F161" s="14" t="s">
        <v>66</v>
      </c>
      <c r="G161" s="14">
        <v>0</v>
      </c>
      <c r="H161" s="14" t="s">
        <v>9</v>
      </c>
      <c r="I161" s="5" t="str">
        <f>_xlfn.XLOOKUP(C161, CustomersTable[customer_id], CustomersTable[customer_segment])</f>
        <v>VIP</v>
      </c>
      <c r="J161" s="5" t="str">
        <f>_xlfn.XLOOKUP(D161,ChannelsTable[channel_id],ChannelsTable[channel_name])</f>
        <v>ATM</v>
      </c>
      <c r="K161" s="5">
        <f>_xlfn.XLOOKUP(C161, CustomersTable[customer_id], CustomersTable[account_age_days])</f>
        <v>950</v>
      </c>
      <c r="L16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1" s="5" t="str" cm="1">
        <f t="array" ref="M161">_xlfn.IFS(AND(L161="HIGH_RISK", OR(I161="VIP", I161="Corporate")), "URGENT",AND(L161="HIGH_RISK", I161="Retail"), "HIGH",F161="DECLINED", "MEDIUM",TRUE, "LOW")</f>
        <v>LOW</v>
      </c>
      <c r="N161" s="5">
        <f>_xlfn.XLOOKUP(TransactionsTable[[#This Row],[customer_id]],Table4[customer_id],Table4[risk_score])</f>
        <v>1</v>
      </c>
    </row>
    <row r="162" spans="1:14">
      <c r="A162" s="14" t="s">
        <v>227</v>
      </c>
      <c r="B162" s="15">
        <v>46106.704131944447</v>
      </c>
      <c r="C162" s="14" t="s">
        <v>45</v>
      </c>
      <c r="D162" s="14" t="s">
        <v>50</v>
      </c>
      <c r="E162" s="14">
        <v>1289</v>
      </c>
      <c r="F162" s="14" t="s">
        <v>66</v>
      </c>
      <c r="G162" s="14">
        <v>0</v>
      </c>
      <c r="H162" s="14" t="s">
        <v>12</v>
      </c>
      <c r="I162" s="5" t="str">
        <f>_xlfn.XLOOKUP(C162, CustomersTable[customer_id], CustomersTable[customer_segment])</f>
        <v>VIP</v>
      </c>
      <c r="J162" s="5" t="str">
        <f>_xlfn.XLOOKUP(D162,ChannelsTable[channel_id],ChannelsTable[channel_name])</f>
        <v>POS</v>
      </c>
      <c r="K162" s="5">
        <f>_xlfn.XLOOKUP(C162, CustomersTable[customer_id], CustomersTable[account_age_days])</f>
        <v>1671</v>
      </c>
      <c r="L16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2" s="5" t="str" cm="1">
        <f t="array" ref="M162">_xlfn.IFS(AND(L162="HIGH_RISK", OR(I162="VIP", I162="Corporate")), "URGENT",AND(L162="HIGH_RISK", I162="Retail"), "HIGH",F162="DECLINED", "MEDIUM",TRUE, "LOW")</f>
        <v>LOW</v>
      </c>
      <c r="N162" s="5">
        <f>_xlfn.XLOOKUP(TransactionsTable[[#This Row],[customer_id]],Table4[customer_id],Table4[risk_score])</f>
        <v>0</v>
      </c>
    </row>
    <row r="163" spans="1:14">
      <c r="A163" s="14" t="s">
        <v>228</v>
      </c>
      <c r="B163" s="15">
        <v>46106.82402777778</v>
      </c>
      <c r="C163" s="14" t="s">
        <v>27</v>
      </c>
      <c r="D163" s="14" t="s">
        <v>54</v>
      </c>
      <c r="E163" s="14">
        <v>774</v>
      </c>
      <c r="F163" s="14" t="s">
        <v>66</v>
      </c>
      <c r="G163" s="14">
        <v>0</v>
      </c>
      <c r="H163" s="14" t="s">
        <v>10</v>
      </c>
      <c r="I163" s="5" t="str">
        <f>_xlfn.XLOOKUP(C163, CustomersTable[customer_id], CustomersTable[customer_segment])</f>
        <v>Retail</v>
      </c>
      <c r="J163" s="5" t="str">
        <f>_xlfn.XLOOKUP(D163,ChannelsTable[channel_id],ChannelsTable[channel_name])</f>
        <v>MOBILE</v>
      </c>
      <c r="K163" s="5">
        <f>_xlfn.XLOOKUP(C163, CustomersTable[customer_id], CustomersTable[account_age_days])</f>
        <v>15</v>
      </c>
      <c r="L16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3" s="5" t="str" cm="1">
        <f t="array" ref="M163">_xlfn.IFS(AND(L163="HIGH_RISK", OR(I163="VIP", I163="Corporate")), "URGENT",AND(L163="HIGH_RISK", I163="Retail"), "HIGH",F163="DECLINED", "MEDIUM",TRUE, "LOW")</f>
        <v>LOW</v>
      </c>
      <c r="N163" s="5">
        <f>_xlfn.XLOOKUP(TransactionsTable[[#This Row],[customer_id]],Table4[customer_id],Table4[risk_score])</f>
        <v>3</v>
      </c>
    </row>
    <row r="164" spans="1:14">
      <c r="A164" s="14" t="s">
        <v>229</v>
      </c>
      <c r="B164" s="15">
        <v>46107.269814814812</v>
      </c>
      <c r="C164" s="14" t="s">
        <v>34</v>
      </c>
      <c r="D164" s="14" t="s">
        <v>54</v>
      </c>
      <c r="E164" s="14">
        <v>3519</v>
      </c>
      <c r="F164" s="14" t="s">
        <v>66</v>
      </c>
      <c r="G164" s="14">
        <v>0</v>
      </c>
      <c r="H164" s="14" t="s">
        <v>10</v>
      </c>
      <c r="I164" s="5" t="str">
        <f>_xlfn.XLOOKUP(C164, CustomersTable[customer_id], CustomersTable[customer_segment])</f>
        <v>Retail</v>
      </c>
      <c r="J164" s="5" t="str">
        <f>_xlfn.XLOOKUP(D164,ChannelsTable[channel_id],ChannelsTable[channel_name])</f>
        <v>MOBILE</v>
      </c>
      <c r="K164" s="5">
        <f>_xlfn.XLOOKUP(C164, CustomersTable[customer_id], CustomersTable[account_age_days])</f>
        <v>60</v>
      </c>
      <c r="L16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4" s="5" t="str" cm="1">
        <f t="array" ref="M164">_xlfn.IFS(AND(L164="HIGH_RISK", OR(I164="VIP", I164="Corporate")), "URGENT",AND(L164="HIGH_RISK", I164="Retail"), "HIGH",F164="DECLINED", "MEDIUM",TRUE, "LOW")</f>
        <v>LOW</v>
      </c>
      <c r="N164" s="5">
        <f>_xlfn.XLOOKUP(TransactionsTable[[#This Row],[customer_id]],Table4[customer_id],Table4[risk_score])</f>
        <v>3</v>
      </c>
    </row>
    <row r="165" spans="1:14">
      <c r="A165" s="14" t="s">
        <v>230</v>
      </c>
      <c r="B165" s="15">
        <v>46107.422951388886</v>
      </c>
      <c r="C165" s="14" t="s">
        <v>31</v>
      </c>
      <c r="D165" s="14" t="s">
        <v>54</v>
      </c>
      <c r="E165" s="14">
        <v>228</v>
      </c>
      <c r="F165" s="14" t="s">
        <v>66</v>
      </c>
      <c r="G165" s="14">
        <v>0</v>
      </c>
      <c r="H165" s="14" t="s">
        <v>10</v>
      </c>
      <c r="I165" s="5" t="str">
        <f>_xlfn.XLOOKUP(C165, CustomersTable[customer_id], CustomersTable[customer_segment])</f>
        <v>VIP</v>
      </c>
      <c r="J165" s="5" t="str">
        <f>_xlfn.XLOOKUP(D165,ChannelsTable[channel_id],ChannelsTable[channel_name])</f>
        <v>MOBILE</v>
      </c>
      <c r="K165" s="5">
        <f>_xlfn.XLOOKUP(C165, CustomersTable[customer_id], CustomersTable[account_age_days])</f>
        <v>2100</v>
      </c>
      <c r="L16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5" s="5" t="str" cm="1">
        <f t="array" ref="M165">_xlfn.IFS(AND(L165="HIGH_RISK", OR(I165="VIP", I165="Corporate")), "URGENT",AND(L165="HIGH_RISK", I165="Retail"), "HIGH",F165="DECLINED", "MEDIUM",TRUE, "LOW")</f>
        <v>LOW</v>
      </c>
      <c r="N165" s="5">
        <f>_xlfn.XLOOKUP(TransactionsTable[[#This Row],[customer_id]],Table4[customer_id],Table4[risk_score])</f>
        <v>1</v>
      </c>
    </row>
    <row r="166" spans="1:14">
      <c r="A166" s="14" t="s">
        <v>231</v>
      </c>
      <c r="B166" s="15">
        <v>46107.423900462964</v>
      </c>
      <c r="C166" s="14" t="s">
        <v>44</v>
      </c>
      <c r="D166" s="14" t="s">
        <v>50</v>
      </c>
      <c r="E166" s="14">
        <v>522</v>
      </c>
      <c r="F166" s="14" t="s">
        <v>66</v>
      </c>
      <c r="G166" s="14">
        <v>0</v>
      </c>
      <c r="H166" s="14" t="s">
        <v>10</v>
      </c>
      <c r="I166" s="5" t="str">
        <f>_xlfn.XLOOKUP(C166, CustomersTable[customer_id], CustomersTable[customer_segment])</f>
        <v>Corporate</v>
      </c>
      <c r="J166" s="5" t="str">
        <f>_xlfn.XLOOKUP(D166,ChannelsTable[channel_id],ChannelsTable[channel_name])</f>
        <v>POS</v>
      </c>
      <c r="K166" s="5">
        <f>_xlfn.XLOOKUP(C166, CustomersTable[customer_id], CustomersTable[account_age_days])</f>
        <v>1490</v>
      </c>
      <c r="L16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6" s="5" t="str" cm="1">
        <f t="array" ref="M166">_xlfn.IFS(AND(L166="HIGH_RISK", OR(I166="VIP", I166="Corporate")), "URGENT",AND(L166="HIGH_RISK", I166="Retail"), "HIGH",F166="DECLINED", "MEDIUM",TRUE, "LOW")</f>
        <v>LOW</v>
      </c>
      <c r="N166" s="5">
        <f>_xlfn.XLOOKUP(TransactionsTable[[#This Row],[customer_id]],Table4[customer_id],Table4[risk_score])</f>
        <v>0</v>
      </c>
    </row>
    <row r="167" spans="1:14">
      <c r="A167" s="14" t="s">
        <v>232</v>
      </c>
      <c r="B167" s="15">
        <v>46107.45888888889</v>
      </c>
      <c r="C167" s="14" t="s">
        <v>43</v>
      </c>
      <c r="D167" s="14" t="s">
        <v>50</v>
      </c>
      <c r="E167" s="14">
        <v>1329</v>
      </c>
      <c r="F167" s="14" t="s">
        <v>66</v>
      </c>
      <c r="G167" s="14">
        <v>0</v>
      </c>
      <c r="H167" s="14" t="s">
        <v>12</v>
      </c>
      <c r="I167" s="5" t="str">
        <f>_xlfn.XLOOKUP(C167, CustomersTable[customer_id], CustomersTable[customer_segment])</f>
        <v>Retail</v>
      </c>
      <c r="J167" s="5" t="str">
        <f>_xlfn.XLOOKUP(D167,ChannelsTable[channel_id],ChannelsTable[channel_name])</f>
        <v>POS</v>
      </c>
      <c r="K167" s="5">
        <f>_xlfn.XLOOKUP(C167, CustomersTable[customer_id], CustomersTable[account_age_days])</f>
        <v>442</v>
      </c>
      <c r="L16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7" s="5" t="str" cm="1">
        <f t="array" ref="M167">_xlfn.IFS(AND(L167="HIGH_RISK", OR(I167="VIP", I167="Corporate")), "URGENT",AND(L167="HIGH_RISK", I167="Retail"), "HIGH",F167="DECLINED", "MEDIUM",TRUE, "LOW")</f>
        <v>LOW</v>
      </c>
      <c r="N167" s="5">
        <f>_xlfn.XLOOKUP(TransactionsTable[[#This Row],[customer_id]],Table4[customer_id],Table4[risk_score])</f>
        <v>1</v>
      </c>
    </row>
    <row r="168" spans="1:14">
      <c r="A168" s="14" t="s">
        <v>233</v>
      </c>
      <c r="B168" s="15">
        <v>46107.561435185184</v>
      </c>
      <c r="C168" s="14" t="s">
        <v>41</v>
      </c>
      <c r="D168" s="14" t="s">
        <v>54</v>
      </c>
      <c r="E168" s="14">
        <v>3994</v>
      </c>
      <c r="F168" s="14" t="s">
        <v>66</v>
      </c>
      <c r="G168" s="14">
        <v>0</v>
      </c>
      <c r="H168" s="14" t="s">
        <v>9</v>
      </c>
      <c r="I168" s="5" t="str">
        <f>_xlfn.XLOOKUP(C168, CustomersTable[customer_id], CustomersTable[customer_segment])</f>
        <v>VIP</v>
      </c>
      <c r="J168" s="5" t="str">
        <f>_xlfn.XLOOKUP(D168,ChannelsTable[channel_id],ChannelsTable[channel_name])</f>
        <v>MOBILE</v>
      </c>
      <c r="K168" s="5">
        <f>_xlfn.XLOOKUP(C168, CustomersTable[customer_id], CustomersTable[account_age_days])</f>
        <v>845</v>
      </c>
      <c r="L16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8" s="5" t="str" cm="1">
        <f t="array" ref="M168">_xlfn.IFS(AND(L168="HIGH_RISK", OR(I168="VIP", I168="Corporate")), "URGENT",AND(L168="HIGH_RISK", I168="Retail"), "HIGH",F168="DECLINED", "MEDIUM",TRUE, "LOW")</f>
        <v>LOW</v>
      </c>
      <c r="N168" s="5">
        <f>_xlfn.XLOOKUP(TransactionsTable[[#This Row],[customer_id]],Table4[customer_id],Table4[risk_score])</f>
        <v>0</v>
      </c>
    </row>
    <row r="169" spans="1:14">
      <c r="A169" s="14" t="s">
        <v>234</v>
      </c>
      <c r="B169" s="15">
        <v>46107.701898148145</v>
      </c>
      <c r="C169" s="14" t="s">
        <v>22</v>
      </c>
      <c r="D169" s="14" t="s">
        <v>48</v>
      </c>
      <c r="E169" s="14">
        <v>1310</v>
      </c>
      <c r="F169" s="14" t="s">
        <v>66</v>
      </c>
      <c r="G169" s="14">
        <v>0</v>
      </c>
      <c r="H169" s="14" t="s">
        <v>9</v>
      </c>
      <c r="I169" s="5" t="str">
        <f>_xlfn.XLOOKUP(C169, CustomersTable[customer_id], CustomersTable[customer_segment])</f>
        <v>VIP</v>
      </c>
      <c r="J169" s="5" t="str">
        <f>_xlfn.XLOOKUP(D169,ChannelsTable[channel_id],ChannelsTable[channel_name])</f>
        <v>ATM</v>
      </c>
      <c r="K169" s="5">
        <f>_xlfn.XLOOKUP(C169, CustomersTable[customer_id], CustomersTable[account_age_days])</f>
        <v>1200</v>
      </c>
      <c r="L16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69" s="5" t="str" cm="1">
        <f t="array" ref="M169">_xlfn.IFS(AND(L169="HIGH_RISK", OR(I169="VIP", I169="Corporate")), "URGENT",AND(L169="HIGH_RISK", I169="Retail"), "HIGH",F169="DECLINED", "MEDIUM",TRUE, "LOW")</f>
        <v>LOW</v>
      </c>
      <c r="N169" s="5">
        <f>_xlfn.XLOOKUP(TransactionsTable[[#This Row],[customer_id]],Table4[customer_id],Table4[risk_score])</f>
        <v>1</v>
      </c>
    </row>
    <row r="170" spans="1:14">
      <c r="A170" s="14" t="s">
        <v>235</v>
      </c>
      <c r="B170" s="15">
        <v>46107.801388888889</v>
      </c>
      <c r="C170" s="14" t="s">
        <v>35</v>
      </c>
      <c r="D170" s="14" t="s">
        <v>50</v>
      </c>
      <c r="E170" s="14">
        <v>2538</v>
      </c>
      <c r="F170" s="14" t="s">
        <v>68</v>
      </c>
      <c r="G170" s="14">
        <v>0</v>
      </c>
      <c r="H170" s="14" t="s">
        <v>10</v>
      </c>
      <c r="I170" s="5" t="str">
        <f>_xlfn.XLOOKUP(C170, CustomersTable[customer_id], CustomersTable[customer_segment])</f>
        <v>VIP</v>
      </c>
      <c r="J170" s="5" t="str">
        <f>_xlfn.XLOOKUP(D170,ChannelsTable[channel_id],ChannelsTable[channel_name])</f>
        <v>POS</v>
      </c>
      <c r="K170" s="5">
        <f>_xlfn.XLOOKUP(C170, CustomersTable[customer_id], CustomersTable[account_age_days])</f>
        <v>950</v>
      </c>
      <c r="L17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70" s="5" t="str" cm="1">
        <f t="array" ref="M170">_xlfn.IFS(AND(L170="HIGH_RISK", OR(I170="VIP", I170="Corporate")), "URGENT",AND(L170="HIGH_RISK", I170="Retail"), "HIGH",F170="DECLINED", "MEDIUM",TRUE, "LOW")</f>
        <v>URGENT</v>
      </c>
      <c r="N170" s="5">
        <f>_xlfn.XLOOKUP(TransactionsTable[[#This Row],[customer_id]],Table4[customer_id],Table4[risk_score])</f>
        <v>1</v>
      </c>
    </row>
    <row r="171" spans="1:14">
      <c r="A171" s="14" t="s">
        <v>236</v>
      </c>
      <c r="B171" s="15">
        <v>46108.040925925925</v>
      </c>
      <c r="C171" s="14" t="s">
        <v>38</v>
      </c>
      <c r="D171" s="14" t="s">
        <v>52</v>
      </c>
      <c r="E171" s="14">
        <v>5849</v>
      </c>
      <c r="F171" s="14" t="s">
        <v>68</v>
      </c>
      <c r="G171" s="14">
        <v>1</v>
      </c>
      <c r="H171" s="14" t="s">
        <v>10</v>
      </c>
      <c r="I171" s="5" t="str">
        <f>_xlfn.XLOOKUP(C171, CustomersTable[customer_id], CustomersTable[customer_segment])</f>
        <v>Corporate</v>
      </c>
      <c r="J171" s="5" t="str">
        <f>_xlfn.XLOOKUP(D171,ChannelsTable[channel_id],ChannelsTable[channel_name])</f>
        <v>ONLINE</v>
      </c>
      <c r="K171" s="5">
        <f>_xlfn.XLOOKUP(C171, CustomersTable[customer_id], CustomersTable[account_age_days])</f>
        <v>762</v>
      </c>
      <c r="L17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71" s="5" t="str" cm="1">
        <f t="array" ref="M171">_xlfn.IFS(AND(L171="HIGH_RISK", OR(I171="VIP", I171="Corporate")), "URGENT",AND(L171="HIGH_RISK", I171="Retail"), "HIGH",F171="DECLINED", "MEDIUM",TRUE, "LOW")</f>
        <v>URGENT</v>
      </c>
      <c r="N171" s="5">
        <f>_xlfn.XLOOKUP(TransactionsTable[[#This Row],[customer_id]],Table4[customer_id],Table4[risk_score])</f>
        <v>0</v>
      </c>
    </row>
    <row r="172" spans="1:14">
      <c r="A172" s="14" t="s">
        <v>237</v>
      </c>
      <c r="B172" s="15">
        <v>46108.046990740739</v>
      </c>
      <c r="C172" s="14" t="s">
        <v>41</v>
      </c>
      <c r="D172" s="14" t="s">
        <v>52</v>
      </c>
      <c r="E172" s="14">
        <v>4651</v>
      </c>
      <c r="F172" s="14" t="s">
        <v>66</v>
      </c>
      <c r="G172" s="14">
        <v>1</v>
      </c>
      <c r="H172" s="14" t="s">
        <v>9</v>
      </c>
      <c r="I172" s="5" t="str">
        <f>_xlfn.XLOOKUP(C172, CustomersTable[customer_id], CustomersTable[customer_segment])</f>
        <v>VIP</v>
      </c>
      <c r="J172" s="5" t="str">
        <f>_xlfn.XLOOKUP(D172,ChannelsTable[channel_id],ChannelsTable[channel_name])</f>
        <v>ONLINE</v>
      </c>
      <c r="K172" s="5">
        <f>_xlfn.XLOOKUP(C172, CustomersTable[customer_id], CustomersTable[account_age_days])</f>
        <v>845</v>
      </c>
      <c r="L17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72" s="5" t="str" cm="1">
        <f t="array" ref="M172">_xlfn.IFS(AND(L172="HIGH_RISK", OR(I172="VIP", I172="Corporate")), "URGENT",AND(L172="HIGH_RISK", I172="Retail"), "HIGH",F172="DECLINED", "MEDIUM",TRUE, "LOW")</f>
        <v>URGENT</v>
      </c>
      <c r="N172" s="5">
        <f>_xlfn.XLOOKUP(TransactionsTable[[#This Row],[customer_id]],Table4[customer_id],Table4[risk_score])</f>
        <v>0</v>
      </c>
    </row>
    <row r="173" spans="1:14">
      <c r="A173" s="14" t="s">
        <v>238</v>
      </c>
      <c r="B173" s="15">
        <v>46108.15179398148</v>
      </c>
      <c r="C173" s="14" t="s">
        <v>34</v>
      </c>
      <c r="D173" s="14" t="s">
        <v>48</v>
      </c>
      <c r="E173" s="14">
        <v>4875</v>
      </c>
      <c r="F173" s="14" t="s">
        <v>68</v>
      </c>
      <c r="G173" s="14">
        <v>1</v>
      </c>
      <c r="H173" s="14" t="s">
        <v>12</v>
      </c>
      <c r="I173" s="5" t="str">
        <f>_xlfn.XLOOKUP(C173, CustomersTable[customer_id], CustomersTable[customer_segment])</f>
        <v>Retail</v>
      </c>
      <c r="J173" s="5" t="str">
        <f>_xlfn.XLOOKUP(D173,ChannelsTable[channel_id],ChannelsTable[channel_name])</f>
        <v>ATM</v>
      </c>
      <c r="K173" s="5">
        <f>_xlfn.XLOOKUP(C173, CustomersTable[customer_id], CustomersTable[account_age_days])</f>
        <v>60</v>
      </c>
      <c r="L17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73" s="5" t="str" cm="1">
        <f t="array" ref="M173">_xlfn.IFS(AND(L173="HIGH_RISK", OR(I173="VIP", I173="Corporate")), "URGENT",AND(L173="HIGH_RISK", I173="Retail"), "HIGH",F173="DECLINED", "MEDIUM",TRUE, "LOW")</f>
        <v>HIGH</v>
      </c>
      <c r="N173" s="5">
        <f>_xlfn.XLOOKUP(TransactionsTable[[#This Row],[customer_id]],Table4[customer_id],Table4[risk_score])</f>
        <v>3</v>
      </c>
    </row>
    <row r="174" spans="1:14">
      <c r="A174" s="14" t="s">
        <v>239</v>
      </c>
      <c r="B174" s="15">
        <v>46108.225787037038</v>
      </c>
      <c r="C174" s="14" t="s">
        <v>40</v>
      </c>
      <c r="D174" s="14" t="s">
        <v>48</v>
      </c>
      <c r="E174" s="14">
        <v>1177</v>
      </c>
      <c r="F174" s="14" t="s">
        <v>66</v>
      </c>
      <c r="G174" s="14">
        <v>1</v>
      </c>
      <c r="H174" s="14" t="s">
        <v>12</v>
      </c>
      <c r="I174" s="5" t="str">
        <f>_xlfn.XLOOKUP(C174, CustomersTable[customer_id], CustomersTable[customer_segment])</f>
        <v>VIP</v>
      </c>
      <c r="J174" s="5" t="str">
        <f>_xlfn.XLOOKUP(D174,ChannelsTable[channel_id],ChannelsTable[channel_name])</f>
        <v>ATM</v>
      </c>
      <c r="K174" s="5">
        <f>_xlfn.XLOOKUP(C174, CustomersTable[customer_id], CustomersTable[account_age_days])</f>
        <v>1560</v>
      </c>
      <c r="L17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74" s="5" t="str" cm="1">
        <f t="array" ref="M174">_xlfn.IFS(AND(L174="HIGH_RISK", OR(I174="VIP", I174="Corporate")), "URGENT",AND(L174="HIGH_RISK", I174="Retail"), "HIGH",F174="DECLINED", "MEDIUM",TRUE, "LOW")</f>
        <v>LOW</v>
      </c>
      <c r="N174" s="5">
        <f>_xlfn.XLOOKUP(TransactionsTable[[#This Row],[customer_id]],Table4[customer_id],Table4[risk_score])</f>
        <v>0</v>
      </c>
    </row>
    <row r="175" spans="1:14">
      <c r="A175" s="14" t="s">
        <v>240</v>
      </c>
      <c r="B175" s="15">
        <v>46108.415416666663</v>
      </c>
      <c r="C175" s="14" t="s">
        <v>27</v>
      </c>
      <c r="D175" s="14" t="s">
        <v>50</v>
      </c>
      <c r="E175" s="14">
        <v>2164</v>
      </c>
      <c r="F175" s="14" t="s">
        <v>66</v>
      </c>
      <c r="G175" s="14">
        <v>0</v>
      </c>
      <c r="H175" s="14" t="s">
        <v>8</v>
      </c>
      <c r="I175" s="5" t="str">
        <f>_xlfn.XLOOKUP(C175, CustomersTable[customer_id], CustomersTable[customer_segment])</f>
        <v>Retail</v>
      </c>
      <c r="J175" s="5" t="str">
        <f>_xlfn.XLOOKUP(D175,ChannelsTable[channel_id],ChannelsTable[channel_name])</f>
        <v>POS</v>
      </c>
      <c r="K175" s="5">
        <f>_xlfn.XLOOKUP(C175, CustomersTable[customer_id], CustomersTable[account_age_days])</f>
        <v>15</v>
      </c>
      <c r="L17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75" s="5" t="str" cm="1">
        <f t="array" ref="M175">_xlfn.IFS(AND(L175="HIGH_RISK", OR(I175="VIP", I175="Corporate")), "URGENT",AND(L175="HIGH_RISK", I175="Retail"), "HIGH",F175="DECLINED", "MEDIUM",TRUE, "LOW")</f>
        <v>LOW</v>
      </c>
      <c r="N175" s="5">
        <f>_xlfn.XLOOKUP(TransactionsTable[[#This Row],[customer_id]],Table4[customer_id],Table4[risk_score])</f>
        <v>3</v>
      </c>
    </row>
    <row r="176" spans="1:14">
      <c r="A176" s="14" t="s">
        <v>241</v>
      </c>
      <c r="B176" s="15">
        <v>46108.558240740742</v>
      </c>
      <c r="C176" s="14" t="s">
        <v>41</v>
      </c>
      <c r="D176" s="14" t="s">
        <v>48</v>
      </c>
      <c r="E176" s="14">
        <v>3716</v>
      </c>
      <c r="F176" s="14" t="s">
        <v>66</v>
      </c>
      <c r="G176" s="14">
        <v>0</v>
      </c>
      <c r="H176" s="14" t="s">
        <v>9</v>
      </c>
      <c r="I176" s="5" t="str">
        <f>_xlfn.XLOOKUP(C176, CustomersTable[customer_id], CustomersTable[customer_segment])</f>
        <v>VIP</v>
      </c>
      <c r="J176" s="5" t="str">
        <f>_xlfn.XLOOKUP(D176,ChannelsTable[channel_id],ChannelsTable[channel_name])</f>
        <v>ATM</v>
      </c>
      <c r="K176" s="5">
        <f>_xlfn.XLOOKUP(C176, CustomersTable[customer_id], CustomersTable[account_age_days])</f>
        <v>845</v>
      </c>
      <c r="L17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76" s="5" t="str" cm="1">
        <f t="array" ref="M176">_xlfn.IFS(AND(L176="HIGH_RISK", OR(I176="VIP", I176="Corporate")), "URGENT",AND(L176="HIGH_RISK", I176="Retail"), "HIGH",F176="DECLINED", "MEDIUM",TRUE, "LOW")</f>
        <v>LOW</v>
      </c>
      <c r="N176" s="5">
        <f>_xlfn.XLOOKUP(TransactionsTable[[#This Row],[customer_id]],Table4[customer_id],Table4[risk_score])</f>
        <v>0</v>
      </c>
    </row>
    <row r="177" spans="1:14">
      <c r="A177" s="14" t="s">
        <v>242</v>
      </c>
      <c r="B177" s="15">
        <v>46108.561030092591</v>
      </c>
      <c r="C177" s="14" t="s">
        <v>26</v>
      </c>
      <c r="D177" s="14" t="s">
        <v>48</v>
      </c>
      <c r="E177" s="14">
        <v>1403</v>
      </c>
      <c r="F177" s="14" t="s">
        <v>66</v>
      </c>
      <c r="G177" s="14">
        <v>0</v>
      </c>
      <c r="H177" s="14" t="s">
        <v>9</v>
      </c>
      <c r="I177" s="5" t="str">
        <f>_xlfn.XLOOKUP(C177, CustomersTable[customer_id], CustomersTable[customer_segment])</f>
        <v>Corporate</v>
      </c>
      <c r="J177" s="5" t="str">
        <f>_xlfn.XLOOKUP(D177,ChannelsTable[channel_id],ChannelsTable[channel_name])</f>
        <v>ATM</v>
      </c>
      <c r="K177" s="5">
        <f>_xlfn.XLOOKUP(C177, CustomersTable[customer_id], CustomersTable[account_age_days])</f>
        <v>890</v>
      </c>
      <c r="L17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77" s="5" t="str" cm="1">
        <f t="array" ref="M177">_xlfn.IFS(AND(L177="HIGH_RISK", OR(I177="VIP", I177="Corporate")), "URGENT",AND(L177="HIGH_RISK", I177="Retail"), "HIGH",F177="DECLINED", "MEDIUM",TRUE, "LOW")</f>
        <v>LOW</v>
      </c>
      <c r="N177" s="5">
        <f>_xlfn.XLOOKUP(TransactionsTable[[#This Row],[customer_id]],Table4[customer_id],Table4[risk_score])</f>
        <v>0</v>
      </c>
    </row>
    <row r="178" spans="1:14">
      <c r="A178" s="14" t="s">
        <v>243</v>
      </c>
      <c r="B178" s="15">
        <v>46108.701041666667</v>
      </c>
      <c r="C178" s="14" t="s">
        <v>29</v>
      </c>
      <c r="D178" s="14" t="s">
        <v>48</v>
      </c>
      <c r="E178" s="14">
        <v>2270</v>
      </c>
      <c r="F178" s="14" t="s">
        <v>68</v>
      </c>
      <c r="G178" s="14">
        <v>0</v>
      </c>
      <c r="H178" s="14" t="s">
        <v>10</v>
      </c>
      <c r="I178" s="5" t="str">
        <f>_xlfn.XLOOKUP(C178, CustomersTable[customer_id], CustomersTable[customer_segment])</f>
        <v>Retail</v>
      </c>
      <c r="J178" s="5" t="str">
        <f>_xlfn.XLOOKUP(D178,ChannelsTable[channel_id],ChannelsTable[channel_name])</f>
        <v>ATM</v>
      </c>
      <c r="K178" s="5">
        <f>_xlfn.XLOOKUP(C178, CustomersTable[customer_id], CustomersTable[account_age_days])</f>
        <v>320</v>
      </c>
      <c r="L17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78" s="5" t="str" cm="1">
        <f t="array" ref="M178">_xlfn.IFS(AND(L178="HIGH_RISK", OR(I178="VIP", I178="Corporate")), "URGENT",AND(L178="HIGH_RISK", I178="Retail"), "HIGH",F178="DECLINED", "MEDIUM",TRUE, "LOW")</f>
        <v>HIGH</v>
      </c>
      <c r="N178" s="5">
        <f>_xlfn.XLOOKUP(TransactionsTable[[#This Row],[customer_id]],Table4[customer_id],Table4[risk_score])</f>
        <v>2</v>
      </c>
    </row>
    <row r="179" spans="1:14">
      <c r="A179" s="14" t="s">
        <v>244</v>
      </c>
      <c r="B179" s="15">
        <v>46108.70208333333</v>
      </c>
      <c r="C179" s="14" t="s">
        <v>35</v>
      </c>
      <c r="D179" s="14" t="s">
        <v>54</v>
      </c>
      <c r="E179" s="14">
        <v>220</v>
      </c>
      <c r="F179" s="14" t="s">
        <v>66</v>
      </c>
      <c r="G179" s="14">
        <v>0</v>
      </c>
      <c r="H179" s="14" t="s">
        <v>11</v>
      </c>
      <c r="I179" s="5" t="str">
        <f>_xlfn.XLOOKUP(C179, CustomersTable[customer_id], CustomersTable[customer_segment])</f>
        <v>VIP</v>
      </c>
      <c r="J179" s="5" t="str">
        <f>_xlfn.XLOOKUP(D179,ChannelsTable[channel_id],ChannelsTable[channel_name])</f>
        <v>MOBILE</v>
      </c>
      <c r="K179" s="5">
        <f>_xlfn.XLOOKUP(C179, CustomersTable[customer_id], CustomersTable[account_age_days])</f>
        <v>950</v>
      </c>
      <c r="L17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79" s="5" t="str" cm="1">
        <f t="array" ref="M179">_xlfn.IFS(AND(L179="HIGH_RISK", OR(I179="VIP", I179="Corporate")), "URGENT",AND(L179="HIGH_RISK", I179="Retail"), "HIGH",F179="DECLINED", "MEDIUM",TRUE, "LOW")</f>
        <v>LOW</v>
      </c>
      <c r="N179" s="5">
        <f>_xlfn.XLOOKUP(TransactionsTable[[#This Row],[customer_id]],Table4[customer_id],Table4[risk_score])</f>
        <v>1</v>
      </c>
    </row>
    <row r="180" spans="1:14">
      <c r="A180" s="14" t="s">
        <v>245</v>
      </c>
      <c r="B180" s="15">
        <v>46108.732569444444</v>
      </c>
      <c r="C180" s="14" t="s">
        <v>35</v>
      </c>
      <c r="D180" s="14" t="s">
        <v>48</v>
      </c>
      <c r="E180" s="14">
        <v>3684</v>
      </c>
      <c r="F180" s="14" t="s">
        <v>66</v>
      </c>
      <c r="G180" s="14">
        <v>0</v>
      </c>
      <c r="H180" s="14" t="s">
        <v>11</v>
      </c>
      <c r="I180" s="5" t="str">
        <f>_xlfn.XLOOKUP(C180, CustomersTable[customer_id], CustomersTable[customer_segment])</f>
        <v>VIP</v>
      </c>
      <c r="J180" s="5" t="str">
        <f>_xlfn.XLOOKUP(D180,ChannelsTable[channel_id],ChannelsTable[channel_name])</f>
        <v>ATM</v>
      </c>
      <c r="K180" s="5">
        <f>_xlfn.XLOOKUP(C180, CustomersTable[customer_id], CustomersTable[account_age_days])</f>
        <v>950</v>
      </c>
      <c r="L18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0" s="5" t="str" cm="1">
        <f t="array" ref="M180">_xlfn.IFS(AND(L180="HIGH_RISK", OR(I180="VIP", I180="Corporate")), "URGENT",AND(L180="HIGH_RISK", I180="Retail"), "HIGH",F180="DECLINED", "MEDIUM",TRUE, "LOW")</f>
        <v>LOW</v>
      </c>
      <c r="N180" s="5">
        <f>_xlfn.XLOOKUP(TransactionsTable[[#This Row],[customer_id]],Table4[customer_id],Table4[risk_score])</f>
        <v>1</v>
      </c>
    </row>
    <row r="181" spans="1:14">
      <c r="A181" s="14" t="s">
        <v>246</v>
      </c>
      <c r="B181" s="15">
        <v>46108.760277777779</v>
      </c>
      <c r="C181" s="14" t="s">
        <v>40</v>
      </c>
      <c r="D181" s="14" t="s">
        <v>50</v>
      </c>
      <c r="E181" s="14">
        <v>500</v>
      </c>
      <c r="F181" s="14" t="s">
        <v>66</v>
      </c>
      <c r="G181" s="14">
        <v>0</v>
      </c>
      <c r="H181" s="14" t="s">
        <v>12</v>
      </c>
      <c r="I181" s="5" t="str">
        <f>_xlfn.XLOOKUP(C181, CustomersTable[customer_id], CustomersTable[customer_segment])</f>
        <v>VIP</v>
      </c>
      <c r="J181" s="5" t="str">
        <f>_xlfn.XLOOKUP(D181,ChannelsTable[channel_id],ChannelsTable[channel_name])</f>
        <v>POS</v>
      </c>
      <c r="K181" s="5">
        <f>_xlfn.XLOOKUP(C181, CustomersTable[customer_id], CustomersTable[account_age_days])</f>
        <v>1560</v>
      </c>
      <c r="L18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1" s="5" t="str" cm="1">
        <f t="array" ref="M181">_xlfn.IFS(AND(L181="HIGH_RISK", OR(I181="VIP", I181="Corporate")), "URGENT",AND(L181="HIGH_RISK", I181="Retail"), "HIGH",F181="DECLINED", "MEDIUM",TRUE, "LOW")</f>
        <v>LOW</v>
      </c>
      <c r="N181" s="5">
        <f>_xlfn.XLOOKUP(TransactionsTable[[#This Row],[customer_id]],Table4[customer_id],Table4[risk_score])</f>
        <v>0</v>
      </c>
    </row>
    <row r="182" spans="1:14">
      <c r="A182" s="14" t="s">
        <v>247</v>
      </c>
      <c r="B182" s="15">
        <v>46108.769467592596</v>
      </c>
      <c r="C182" s="14" t="s">
        <v>22</v>
      </c>
      <c r="D182" s="14" t="s">
        <v>50</v>
      </c>
      <c r="E182" s="14">
        <v>1902</v>
      </c>
      <c r="F182" s="14" t="s">
        <v>66</v>
      </c>
      <c r="G182" s="14">
        <v>0</v>
      </c>
      <c r="H182" s="14" t="s">
        <v>12</v>
      </c>
      <c r="I182" s="5" t="str">
        <f>_xlfn.XLOOKUP(C182, CustomersTable[customer_id], CustomersTable[customer_segment])</f>
        <v>VIP</v>
      </c>
      <c r="J182" s="5" t="str">
        <f>_xlfn.XLOOKUP(D182,ChannelsTable[channel_id],ChannelsTable[channel_name])</f>
        <v>POS</v>
      </c>
      <c r="K182" s="5">
        <f>_xlfn.XLOOKUP(C182, CustomersTable[customer_id], CustomersTable[account_age_days])</f>
        <v>1200</v>
      </c>
      <c r="L18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2" s="5" t="str" cm="1">
        <f t="array" ref="M182">_xlfn.IFS(AND(L182="HIGH_RISK", OR(I182="VIP", I182="Corporate")), "URGENT",AND(L182="HIGH_RISK", I182="Retail"), "HIGH",F182="DECLINED", "MEDIUM",TRUE, "LOW")</f>
        <v>LOW</v>
      </c>
      <c r="N182" s="5">
        <f>_xlfn.XLOOKUP(TransactionsTable[[#This Row],[customer_id]],Table4[customer_id],Table4[risk_score])</f>
        <v>1</v>
      </c>
    </row>
    <row r="183" spans="1:14">
      <c r="A183" s="14" t="s">
        <v>248</v>
      </c>
      <c r="B183" s="15">
        <v>46108.947395833333</v>
      </c>
      <c r="C183" s="14" t="s">
        <v>36</v>
      </c>
      <c r="D183" s="14" t="s">
        <v>52</v>
      </c>
      <c r="E183" s="14">
        <v>10177</v>
      </c>
      <c r="F183" s="14" t="s">
        <v>68</v>
      </c>
      <c r="G183" s="14">
        <v>1</v>
      </c>
      <c r="H183" s="14" t="s">
        <v>12</v>
      </c>
      <c r="I183" s="5" t="str">
        <f>_xlfn.XLOOKUP(C183, CustomersTable[customer_id], CustomersTable[customer_segment])</f>
        <v>Retail</v>
      </c>
      <c r="J183" s="5" t="str">
        <f>_xlfn.XLOOKUP(D183,ChannelsTable[channel_id],ChannelsTable[channel_name])</f>
        <v>ONLINE</v>
      </c>
      <c r="K183" s="5">
        <f>_xlfn.XLOOKUP(C183, CustomersTable[customer_id], CustomersTable[account_age_days])</f>
        <v>66</v>
      </c>
      <c r="L18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83" s="5" t="str" cm="1">
        <f t="array" ref="M183">_xlfn.IFS(AND(L183="HIGH_RISK", OR(I183="VIP", I183="Corporate")), "URGENT",AND(L183="HIGH_RISK", I183="Retail"), "HIGH",F183="DECLINED", "MEDIUM",TRUE, "LOW")</f>
        <v>HIGH</v>
      </c>
      <c r="N183" s="5">
        <f>_xlfn.XLOOKUP(TransactionsTable[[#This Row],[customer_id]],Table4[customer_id],Table4[risk_score])</f>
        <v>2</v>
      </c>
    </row>
    <row r="184" spans="1:14">
      <c r="A184" s="14" t="s">
        <v>249</v>
      </c>
      <c r="B184" s="15">
        <v>46108.98814814815</v>
      </c>
      <c r="C184" s="14" t="s">
        <v>34</v>
      </c>
      <c r="D184" s="14" t="s">
        <v>50</v>
      </c>
      <c r="E184" s="14">
        <v>17388</v>
      </c>
      <c r="F184" s="14" t="s">
        <v>68</v>
      </c>
      <c r="G184" s="14">
        <v>1</v>
      </c>
      <c r="H184" s="14" t="s">
        <v>9</v>
      </c>
      <c r="I184" s="5" t="str">
        <f>_xlfn.XLOOKUP(C184, CustomersTable[customer_id], CustomersTable[customer_segment])</f>
        <v>Retail</v>
      </c>
      <c r="J184" s="5" t="str">
        <f>_xlfn.XLOOKUP(D184,ChannelsTable[channel_id],ChannelsTable[channel_name])</f>
        <v>POS</v>
      </c>
      <c r="K184" s="5">
        <f>_xlfn.XLOOKUP(C184, CustomersTable[customer_id], CustomersTable[account_age_days])</f>
        <v>60</v>
      </c>
      <c r="L18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84" s="5" t="str" cm="1">
        <f t="array" ref="M184">_xlfn.IFS(AND(L184="HIGH_RISK", OR(I184="VIP", I184="Corporate")), "URGENT",AND(L184="HIGH_RISK", I184="Retail"), "HIGH",F184="DECLINED", "MEDIUM",TRUE, "LOW")</f>
        <v>HIGH</v>
      </c>
      <c r="N184" s="5">
        <f>_xlfn.XLOOKUP(TransactionsTable[[#This Row],[customer_id]],Table4[customer_id],Table4[risk_score])</f>
        <v>3</v>
      </c>
    </row>
    <row r="185" spans="1:14">
      <c r="A185" s="14" t="s">
        <v>250</v>
      </c>
      <c r="B185" s="15">
        <v>46109.011666666665</v>
      </c>
      <c r="C185" s="14" t="s">
        <v>31</v>
      </c>
      <c r="D185" s="14" t="s">
        <v>54</v>
      </c>
      <c r="E185" s="14">
        <v>3231</v>
      </c>
      <c r="F185" s="14" t="s">
        <v>68</v>
      </c>
      <c r="G185" s="14">
        <v>1</v>
      </c>
      <c r="H185" s="14" t="s">
        <v>12</v>
      </c>
      <c r="I185" s="5" t="str">
        <f>_xlfn.XLOOKUP(C185, CustomersTable[customer_id], CustomersTable[customer_segment])</f>
        <v>VIP</v>
      </c>
      <c r="J185" s="5" t="str">
        <f>_xlfn.XLOOKUP(D185,ChannelsTable[channel_id],ChannelsTable[channel_name])</f>
        <v>MOBILE</v>
      </c>
      <c r="K185" s="5">
        <f>_xlfn.XLOOKUP(C185, CustomersTable[customer_id], CustomersTable[account_age_days])</f>
        <v>2100</v>
      </c>
      <c r="L18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85" s="5" t="str" cm="1">
        <f t="array" ref="M185">_xlfn.IFS(AND(L185="HIGH_RISK", OR(I185="VIP", I185="Corporate")), "URGENT",AND(L185="HIGH_RISK", I185="Retail"), "HIGH",F185="DECLINED", "MEDIUM",TRUE, "LOW")</f>
        <v>URGENT</v>
      </c>
      <c r="N185" s="5">
        <f>_xlfn.XLOOKUP(TransactionsTable[[#This Row],[customer_id]],Table4[customer_id],Table4[risk_score])</f>
        <v>1</v>
      </c>
    </row>
    <row r="186" spans="1:14">
      <c r="A186" s="14" t="s">
        <v>251</v>
      </c>
      <c r="B186" s="15">
        <v>46109.260601851849</v>
      </c>
      <c r="C186" s="14" t="s">
        <v>27</v>
      </c>
      <c r="D186" s="14" t="s">
        <v>50</v>
      </c>
      <c r="E186" s="14">
        <v>72</v>
      </c>
      <c r="F186" s="14" t="s">
        <v>66</v>
      </c>
      <c r="G186" s="14">
        <v>0</v>
      </c>
      <c r="H186" s="14" t="s">
        <v>8</v>
      </c>
      <c r="I186" s="5" t="str">
        <f>_xlfn.XLOOKUP(C186, CustomersTable[customer_id], CustomersTable[customer_segment])</f>
        <v>Retail</v>
      </c>
      <c r="J186" s="5" t="str">
        <f>_xlfn.XLOOKUP(D186,ChannelsTable[channel_id],ChannelsTable[channel_name])</f>
        <v>POS</v>
      </c>
      <c r="K186" s="5">
        <f>_xlfn.XLOOKUP(C186, CustomersTable[customer_id], CustomersTable[account_age_days])</f>
        <v>15</v>
      </c>
      <c r="L18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6" s="5" t="str" cm="1">
        <f t="array" ref="M186">_xlfn.IFS(AND(L186="HIGH_RISK", OR(I186="VIP", I186="Corporate")), "URGENT",AND(L186="HIGH_RISK", I186="Retail"), "HIGH",F186="DECLINED", "MEDIUM",TRUE, "LOW")</f>
        <v>LOW</v>
      </c>
      <c r="N186" s="5">
        <f>_xlfn.XLOOKUP(TransactionsTable[[#This Row],[customer_id]],Table4[customer_id],Table4[risk_score])</f>
        <v>3</v>
      </c>
    </row>
    <row r="187" spans="1:14">
      <c r="A187" s="14" t="s">
        <v>252</v>
      </c>
      <c r="B187" s="15">
        <v>46109.348449074074</v>
      </c>
      <c r="C187" s="14" t="s">
        <v>32</v>
      </c>
      <c r="D187" s="14" t="s">
        <v>54</v>
      </c>
      <c r="E187" s="14">
        <v>245</v>
      </c>
      <c r="F187" s="14" t="s">
        <v>66</v>
      </c>
      <c r="G187" s="14">
        <v>0</v>
      </c>
      <c r="H187" s="14" t="s">
        <v>12</v>
      </c>
      <c r="I187" s="5" t="str">
        <f>_xlfn.XLOOKUP(C187, CustomersTable[customer_id], CustomersTable[customer_segment])</f>
        <v>Retail</v>
      </c>
      <c r="J187" s="5" t="str">
        <f>_xlfn.XLOOKUP(D187,ChannelsTable[channel_id],ChannelsTable[channel_name])</f>
        <v>MOBILE</v>
      </c>
      <c r="K187" s="5">
        <f>_xlfn.XLOOKUP(C187, CustomersTable[customer_id], CustomersTable[account_age_days])</f>
        <v>8</v>
      </c>
      <c r="L18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7" s="5" t="str" cm="1">
        <f t="array" ref="M187">_xlfn.IFS(AND(L187="HIGH_RISK", OR(I187="VIP", I187="Corporate")), "URGENT",AND(L187="HIGH_RISK", I187="Retail"), "HIGH",F187="DECLINED", "MEDIUM",TRUE, "LOW")</f>
        <v>LOW</v>
      </c>
      <c r="N187" s="5">
        <f>_xlfn.XLOOKUP(TransactionsTable[[#This Row],[customer_id]],Table4[customer_id],Table4[risk_score])</f>
        <v>2</v>
      </c>
    </row>
    <row r="188" spans="1:14">
      <c r="A188" s="14" t="s">
        <v>253</v>
      </c>
      <c r="B188" s="15">
        <v>46109.81113425926</v>
      </c>
      <c r="C188" s="14" t="s">
        <v>38</v>
      </c>
      <c r="D188" s="14" t="s">
        <v>52</v>
      </c>
      <c r="E188" s="14">
        <v>2519</v>
      </c>
      <c r="F188" s="14" t="s">
        <v>66</v>
      </c>
      <c r="G188" s="14">
        <v>0</v>
      </c>
      <c r="H188" s="14" t="s">
        <v>8</v>
      </c>
      <c r="I188" s="5" t="str">
        <f>_xlfn.XLOOKUP(C188, CustomersTable[customer_id], CustomersTable[customer_segment])</f>
        <v>Corporate</v>
      </c>
      <c r="J188" s="5" t="str">
        <f>_xlfn.XLOOKUP(D188,ChannelsTable[channel_id],ChannelsTable[channel_name])</f>
        <v>ONLINE</v>
      </c>
      <c r="K188" s="5">
        <f>_xlfn.XLOOKUP(C188, CustomersTable[customer_id], CustomersTable[account_age_days])</f>
        <v>762</v>
      </c>
      <c r="L18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8" s="5" t="str" cm="1">
        <f t="array" ref="M188">_xlfn.IFS(AND(L188="HIGH_RISK", OR(I188="VIP", I188="Corporate")), "URGENT",AND(L188="HIGH_RISK", I188="Retail"), "HIGH",F188="DECLINED", "MEDIUM",TRUE, "LOW")</f>
        <v>LOW</v>
      </c>
      <c r="N188" s="5">
        <f>_xlfn.XLOOKUP(TransactionsTable[[#This Row],[customer_id]],Table4[customer_id],Table4[risk_score])</f>
        <v>0</v>
      </c>
    </row>
    <row r="189" spans="1:14">
      <c r="A189" s="14" t="s">
        <v>254</v>
      </c>
      <c r="B189" s="15">
        <v>46109.90525462963</v>
      </c>
      <c r="C189" s="14" t="s">
        <v>26</v>
      </c>
      <c r="D189" s="14" t="s">
        <v>52</v>
      </c>
      <c r="E189" s="14">
        <v>312</v>
      </c>
      <c r="F189" s="14" t="s">
        <v>66</v>
      </c>
      <c r="G189" s="14">
        <v>0</v>
      </c>
      <c r="H189" s="14" t="s">
        <v>11</v>
      </c>
      <c r="I189" s="5" t="str">
        <f>_xlfn.XLOOKUP(C189, CustomersTable[customer_id], CustomersTable[customer_segment])</f>
        <v>Corporate</v>
      </c>
      <c r="J189" s="5" t="str">
        <f>_xlfn.XLOOKUP(D189,ChannelsTable[channel_id],ChannelsTable[channel_name])</f>
        <v>ONLINE</v>
      </c>
      <c r="K189" s="5">
        <f>_xlfn.XLOOKUP(C189, CustomersTable[customer_id], CustomersTable[account_age_days])</f>
        <v>890</v>
      </c>
      <c r="L18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89" s="5" t="str" cm="1">
        <f t="array" ref="M189">_xlfn.IFS(AND(L189="HIGH_RISK", OR(I189="VIP", I189="Corporate")), "URGENT",AND(L189="HIGH_RISK", I189="Retail"), "HIGH",F189="DECLINED", "MEDIUM",TRUE, "LOW")</f>
        <v>LOW</v>
      </c>
      <c r="N189" s="5">
        <f>_xlfn.XLOOKUP(TransactionsTable[[#This Row],[customer_id]],Table4[customer_id],Table4[risk_score])</f>
        <v>0</v>
      </c>
    </row>
    <row r="190" spans="1:14">
      <c r="A190" s="14" t="s">
        <v>255</v>
      </c>
      <c r="B190" s="15">
        <v>46110.126932870371</v>
      </c>
      <c r="C190" s="14" t="s">
        <v>29</v>
      </c>
      <c r="D190" s="14" t="s">
        <v>52</v>
      </c>
      <c r="E190" s="14">
        <v>8277</v>
      </c>
      <c r="F190" s="14" t="s">
        <v>68</v>
      </c>
      <c r="G190" s="14">
        <v>1</v>
      </c>
      <c r="H190" s="14" t="s">
        <v>8</v>
      </c>
      <c r="I190" s="5" t="str">
        <f>_xlfn.XLOOKUP(C190, CustomersTable[customer_id], CustomersTable[customer_segment])</f>
        <v>Retail</v>
      </c>
      <c r="J190" s="5" t="str">
        <f>_xlfn.XLOOKUP(D190,ChannelsTable[channel_id],ChannelsTable[channel_name])</f>
        <v>ONLINE</v>
      </c>
      <c r="K190" s="5">
        <f>_xlfn.XLOOKUP(C190, CustomersTable[customer_id], CustomersTable[account_age_days])</f>
        <v>320</v>
      </c>
      <c r="L19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90" s="5" t="str" cm="1">
        <f t="array" ref="M190">_xlfn.IFS(AND(L190="HIGH_RISK", OR(I190="VIP", I190="Corporate")), "URGENT",AND(L190="HIGH_RISK", I190="Retail"), "HIGH",F190="DECLINED", "MEDIUM",TRUE, "LOW")</f>
        <v>HIGH</v>
      </c>
      <c r="N190" s="5">
        <f>_xlfn.XLOOKUP(TransactionsTable[[#This Row],[customer_id]],Table4[customer_id],Table4[risk_score])</f>
        <v>2</v>
      </c>
    </row>
    <row r="191" spans="1:14">
      <c r="A191" s="14" t="s">
        <v>256</v>
      </c>
      <c r="B191" s="15">
        <v>46110.367708333331</v>
      </c>
      <c r="C191" s="14" t="s">
        <v>34</v>
      </c>
      <c r="D191" s="14" t="s">
        <v>54</v>
      </c>
      <c r="E191" s="14">
        <v>2677</v>
      </c>
      <c r="F191" s="14" t="s">
        <v>66</v>
      </c>
      <c r="G191" s="14">
        <v>0</v>
      </c>
      <c r="H191" s="14" t="s">
        <v>11</v>
      </c>
      <c r="I191" s="5" t="str">
        <f>_xlfn.XLOOKUP(C191, CustomersTable[customer_id], CustomersTable[customer_segment])</f>
        <v>Retail</v>
      </c>
      <c r="J191" s="5" t="str">
        <f>_xlfn.XLOOKUP(D191,ChannelsTable[channel_id],ChannelsTable[channel_name])</f>
        <v>MOBILE</v>
      </c>
      <c r="K191" s="5">
        <f>_xlfn.XLOOKUP(C191, CustomersTable[customer_id], CustomersTable[account_age_days])</f>
        <v>60</v>
      </c>
      <c r="L19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1" s="5" t="str" cm="1">
        <f t="array" ref="M191">_xlfn.IFS(AND(L191="HIGH_RISK", OR(I191="VIP", I191="Corporate")), "URGENT",AND(L191="HIGH_RISK", I191="Retail"), "HIGH",F191="DECLINED", "MEDIUM",TRUE, "LOW")</f>
        <v>LOW</v>
      </c>
      <c r="N191" s="5">
        <f>_xlfn.XLOOKUP(TransactionsTable[[#This Row],[customer_id]],Table4[customer_id],Table4[risk_score])</f>
        <v>3</v>
      </c>
    </row>
    <row r="192" spans="1:14">
      <c r="A192" s="14" t="s">
        <v>257</v>
      </c>
      <c r="B192" s="15">
        <v>46110.456273148149</v>
      </c>
      <c r="C192" s="14" t="s">
        <v>40</v>
      </c>
      <c r="D192" s="14" t="s">
        <v>48</v>
      </c>
      <c r="E192" s="14">
        <v>583</v>
      </c>
      <c r="F192" s="14" t="s">
        <v>66</v>
      </c>
      <c r="G192" s="14">
        <v>0</v>
      </c>
      <c r="H192" s="14" t="s">
        <v>12</v>
      </c>
      <c r="I192" s="5" t="str">
        <f>_xlfn.XLOOKUP(C192, CustomersTable[customer_id], CustomersTable[customer_segment])</f>
        <v>VIP</v>
      </c>
      <c r="J192" s="5" t="str">
        <f>_xlfn.XLOOKUP(D192,ChannelsTable[channel_id],ChannelsTable[channel_name])</f>
        <v>ATM</v>
      </c>
      <c r="K192" s="5">
        <f>_xlfn.XLOOKUP(C192, CustomersTable[customer_id], CustomersTable[account_age_days])</f>
        <v>1560</v>
      </c>
      <c r="L192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2" s="5" t="str" cm="1">
        <f t="array" ref="M192">_xlfn.IFS(AND(L192="HIGH_RISK", OR(I192="VIP", I192="Corporate")), "URGENT",AND(L192="HIGH_RISK", I192="Retail"), "HIGH",F192="DECLINED", "MEDIUM",TRUE, "LOW")</f>
        <v>LOW</v>
      </c>
      <c r="N192" s="5">
        <f>_xlfn.XLOOKUP(TransactionsTable[[#This Row],[customer_id]],Table4[customer_id],Table4[risk_score])</f>
        <v>0</v>
      </c>
    </row>
    <row r="193" spans="1:14">
      <c r="A193" s="14" t="s">
        <v>258</v>
      </c>
      <c r="B193" s="15">
        <v>46110.984756944446</v>
      </c>
      <c r="C193" s="14" t="s">
        <v>34</v>
      </c>
      <c r="D193" s="14" t="s">
        <v>50</v>
      </c>
      <c r="E193" s="14">
        <v>3454</v>
      </c>
      <c r="F193" s="14" t="s">
        <v>66</v>
      </c>
      <c r="G193" s="14">
        <v>1</v>
      </c>
      <c r="H193" s="14" t="s">
        <v>12</v>
      </c>
      <c r="I193" s="5" t="str">
        <f>_xlfn.XLOOKUP(C193, CustomersTable[customer_id], CustomersTable[customer_segment])</f>
        <v>Retail</v>
      </c>
      <c r="J193" s="5" t="str">
        <f>_xlfn.XLOOKUP(D193,ChannelsTable[channel_id],ChannelsTable[channel_name])</f>
        <v>POS</v>
      </c>
      <c r="K193" s="5">
        <f>_xlfn.XLOOKUP(C193, CustomersTable[customer_id], CustomersTable[account_age_days])</f>
        <v>60</v>
      </c>
      <c r="L193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93" s="5" t="str" cm="1">
        <f t="array" ref="M193">_xlfn.IFS(AND(L193="HIGH_RISK", OR(I193="VIP", I193="Corporate")), "URGENT",AND(L193="HIGH_RISK", I193="Retail"), "HIGH",F193="DECLINED", "MEDIUM",TRUE, "LOW")</f>
        <v>HIGH</v>
      </c>
      <c r="N193" s="5">
        <f>_xlfn.XLOOKUP(TransactionsTable[[#This Row],[customer_id]],Table4[customer_id],Table4[risk_score])</f>
        <v>3</v>
      </c>
    </row>
    <row r="194" spans="1:14">
      <c r="A194" s="14" t="s">
        <v>259</v>
      </c>
      <c r="B194" s="15">
        <v>46111.266365740739</v>
      </c>
      <c r="C194" s="14" t="s">
        <v>35</v>
      </c>
      <c r="D194" s="14" t="s">
        <v>50</v>
      </c>
      <c r="E194" s="14">
        <v>5215</v>
      </c>
      <c r="F194" s="14" t="s">
        <v>66</v>
      </c>
      <c r="G194" s="14">
        <v>0</v>
      </c>
      <c r="H194" s="14" t="s">
        <v>11</v>
      </c>
      <c r="I194" s="5" t="str">
        <f>_xlfn.XLOOKUP(C194, CustomersTable[customer_id], CustomersTable[customer_segment])</f>
        <v>VIP</v>
      </c>
      <c r="J194" s="5" t="str">
        <f>_xlfn.XLOOKUP(D194,ChannelsTable[channel_id],ChannelsTable[channel_name])</f>
        <v>POS</v>
      </c>
      <c r="K194" s="5">
        <f>_xlfn.XLOOKUP(C194, CustomersTable[customer_id], CustomersTable[account_age_days])</f>
        <v>950</v>
      </c>
      <c r="L194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4" s="5" t="str" cm="1">
        <f t="array" ref="M194">_xlfn.IFS(AND(L194="HIGH_RISK", OR(I194="VIP", I194="Corporate")), "URGENT",AND(L194="HIGH_RISK", I194="Retail"), "HIGH",F194="DECLINED", "MEDIUM",TRUE, "LOW")</f>
        <v>LOW</v>
      </c>
      <c r="N194" s="5">
        <f>_xlfn.XLOOKUP(TransactionsTable[[#This Row],[customer_id]],Table4[customer_id],Table4[risk_score])</f>
        <v>1</v>
      </c>
    </row>
    <row r="195" spans="1:14">
      <c r="A195" s="14" t="s">
        <v>260</v>
      </c>
      <c r="B195" s="15">
        <v>46111.863298611112</v>
      </c>
      <c r="C195" s="14" t="s">
        <v>43</v>
      </c>
      <c r="D195" s="14" t="s">
        <v>48</v>
      </c>
      <c r="E195" s="14">
        <v>2431</v>
      </c>
      <c r="F195" s="14" t="s">
        <v>66</v>
      </c>
      <c r="G195" s="14">
        <v>0</v>
      </c>
      <c r="H195" s="14" t="s">
        <v>10</v>
      </c>
      <c r="I195" s="5" t="str">
        <f>_xlfn.XLOOKUP(C195, CustomersTable[customer_id], CustomersTable[customer_segment])</f>
        <v>Retail</v>
      </c>
      <c r="J195" s="5" t="str">
        <f>_xlfn.XLOOKUP(D195,ChannelsTable[channel_id],ChannelsTable[channel_name])</f>
        <v>ATM</v>
      </c>
      <c r="K195" s="5">
        <f>_xlfn.XLOOKUP(C195, CustomersTable[customer_id], CustomersTable[account_age_days])</f>
        <v>442</v>
      </c>
      <c r="L195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5" s="5" t="str" cm="1">
        <f t="array" ref="M195">_xlfn.IFS(AND(L195="HIGH_RISK", OR(I195="VIP", I195="Corporate")), "URGENT",AND(L195="HIGH_RISK", I195="Retail"), "HIGH",F195="DECLINED", "MEDIUM",TRUE, "LOW")</f>
        <v>LOW</v>
      </c>
      <c r="N195" s="5">
        <f>_xlfn.XLOOKUP(TransactionsTable[[#This Row],[customer_id]],Table4[customer_id],Table4[risk_score])</f>
        <v>1</v>
      </c>
    </row>
    <row r="196" spans="1:14">
      <c r="A196" s="14" t="s">
        <v>261</v>
      </c>
      <c r="B196" s="15">
        <v>46111.869131944448</v>
      </c>
      <c r="C196" s="14" t="s">
        <v>39</v>
      </c>
      <c r="D196" s="14" t="s">
        <v>48</v>
      </c>
      <c r="E196" s="14">
        <v>1115</v>
      </c>
      <c r="F196" s="14" t="s">
        <v>66</v>
      </c>
      <c r="G196" s="14">
        <v>0</v>
      </c>
      <c r="H196" s="14" t="s">
        <v>11</v>
      </c>
      <c r="I196" s="5" t="str">
        <f>_xlfn.XLOOKUP(C196, CustomersTable[customer_id], CustomersTable[customer_segment])</f>
        <v>Retail</v>
      </c>
      <c r="J196" s="5" t="str">
        <f>_xlfn.XLOOKUP(D196,ChannelsTable[channel_id],ChannelsTable[channel_name])</f>
        <v>ATM</v>
      </c>
      <c r="K196" s="5">
        <f>_xlfn.XLOOKUP(C196, CustomersTable[customer_id], CustomersTable[account_age_days])</f>
        <v>544</v>
      </c>
      <c r="L196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6" s="5" t="str" cm="1">
        <f t="array" ref="M196">_xlfn.IFS(AND(L196="HIGH_RISK", OR(I196="VIP", I196="Corporate")), "URGENT",AND(L196="HIGH_RISK", I196="Retail"), "HIGH",F196="DECLINED", "MEDIUM",TRUE, "LOW")</f>
        <v>LOW</v>
      </c>
      <c r="N196" s="5">
        <f>_xlfn.XLOOKUP(TransactionsTable[[#This Row],[customer_id]],Table4[customer_id],Table4[risk_score])</f>
        <v>0</v>
      </c>
    </row>
    <row r="197" spans="1:14">
      <c r="A197" s="14" t="s">
        <v>262</v>
      </c>
      <c r="B197" s="15">
        <v>46112.029374999998</v>
      </c>
      <c r="C197" s="14" t="s">
        <v>27</v>
      </c>
      <c r="D197" s="14" t="s">
        <v>48</v>
      </c>
      <c r="E197" s="14">
        <v>2551</v>
      </c>
      <c r="F197" s="14" t="s">
        <v>66</v>
      </c>
      <c r="G197" s="14">
        <v>1</v>
      </c>
      <c r="H197" s="14" t="s">
        <v>9</v>
      </c>
      <c r="I197" s="5" t="str">
        <f>_xlfn.XLOOKUP(C197, CustomersTable[customer_id], CustomersTable[customer_segment])</f>
        <v>Retail</v>
      </c>
      <c r="J197" s="5" t="str">
        <f>_xlfn.XLOOKUP(D197,ChannelsTable[channel_id],ChannelsTable[channel_name])</f>
        <v>ATM</v>
      </c>
      <c r="K197" s="5">
        <f>_xlfn.XLOOKUP(C197, CustomersTable[customer_id], CustomersTable[account_age_days])</f>
        <v>15</v>
      </c>
      <c r="L197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7" s="5" t="str" cm="1">
        <f t="array" ref="M197">_xlfn.IFS(AND(L197="HIGH_RISK", OR(I197="VIP", I197="Corporate")), "URGENT",AND(L197="HIGH_RISK", I197="Retail"), "HIGH",F197="DECLINED", "MEDIUM",TRUE, "LOW")</f>
        <v>LOW</v>
      </c>
      <c r="N197" s="5">
        <f>_xlfn.XLOOKUP(TransactionsTable[[#This Row],[customer_id]],Table4[customer_id],Table4[risk_score])</f>
        <v>3</v>
      </c>
    </row>
    <row r="198" spans="1:14">
      <c r="A198" s="14" t="s">
        <v>263</v>
      </c>
      <c r="B198" s="15">
        <v>46112.118784722225</v>
      </c>
      <c r="C198" s="14" t="s">
        <v>41</v>
      </c>
      <c r="D198" s="14" t="s">
        <v>50</v>
      </c>
      <c r="E198" s="14">
        <v>976</v>
      </c>
      <c r="F198" s="14" t="s">
        <v>66</v>
      </c>
      <c r="G198" s="14">
        <v>1</v>
      </c>
      <c r="H198" s="14" t="s">
        <v>11</v>
      </c>
      <c r="I198" s="5" t="str">
        <f>_xlfn.XLOOKUP(C198, CustomersTable[customer_id], CustomersTable[customer_segment])</f>
        <v>VIP</v>
      </c>
      <c r="J198" s="5" t="str">
        <f>_xlfn.XLOOKUP(D198,ChannelsTable[channel_id],ChannelsTable[channel_name])</f>
        <v>POS</v>
      </c>
      <c r="K198" s="5">
        <f>_xlfn.XLOOKUP(C198, CustomersTable[customer_id], CustomersTable[account_age_days])</f>
        <v>845</v>
      </c>
      <c r="L198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198" s="5" t="str" cm="1">
        <f t="array" ref="M198">_xlfn.IFS(AND(L198="HIGH_RISK", OR(I198="VIP", I198="Corporate")), "URGENT",AND(L198="HIGH_RISK", I198="Retail"), "HIGH",F198="DECLINED", "MEDIUM",TRUE, "LOW")</f>
        <v>LOW</v>
      </c>
      <c r="N198" s="5">
        <f>_xlfn.XLOOKUP(TransactionsTable[[#This Row],[customer_id]],Table4[customer_id],Table4[risk_score])</f>
        <v>0</v>
      </c>
    </row>
    <row r="199" spans="1:14">
      <c r="A199" s="14" t="s">
        <v>264</v>
      </c>
      <c r="B199" s="15">
        <v>46112.121828703705</v>
      </c>
      <c r="C199" s="14" t="s">
        <v>31</v>
      </c>
      <c r="D199" s="14" t="s">
        <v>52</v>
      </c>
      <c r="E199" s="14">
        <v>16803</v>
      </c>
      <c r="F199" s="14" t="s">
        <v>68</v>
      </c>
      <c r="G199" s="14">
        <v>1</v>
      </c>
      <c r="H199" s="14" t="s">
        <v>12</v>
      </c>
      <c r="I199" s="5" t="str">
        <f>_xlfn.XLOOKUP(C199, CustomersTable[customer_id], CustomersTable[customer_segment])</f>
        <v>VIP</v>
      </c>
      <c r="J199" s="5" t="str">
        <f>_xlfn.XLOOKUP(D199,ChannelsTable[channel_id],ChannelsTable[channel_name])</f>
        <v>ONLINE</v>
      </c>
      <c r="K199" s="5">
        <f>_xlfn.XLOOKUP(C199, CustomersTable[customer_id], CustomersTable[account_age_days])</f>
        <v>2100</v>
      </c>
      <c r="L199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199" s="5" t="str" cm="1">
        <f t="array" ref="M199">_xlfn.IFS(AND(L199="HIGH_RISK", OR(I199="VIP", I199="Corporate")), "URGENT",AND(L199="HIGH_RISK", I199="Retail"), "HIGH",F199="DECLINED", "MEDIUM",TRUE, "LOW")</f>
        <v>URGENT</v>
      </c>
      <c r="N199" s="5">
        <f>_xlfn.XLOOKUP(TransactionsTable[[#This Row],[customer_id]],Table4[customer_id],Table4[risk_score])</f>
        <v>1</v>
      </c>
    </row>
    <row r="200" spans="1:14">
      <c r="A200" s="14" t="s">
        <v>265</v>
      </c>
      <c r="B200" s="15">
        <v>46112.196296296293</v>
      </c>
      <c r="C200" s="14" t="s">
        <v>37</v>
      </c>
      <c r="D200" s="14" t="s">
        <v>48</v>
      </c>
      <c r="E200" s="14">
        <v>11216</v>
      </c>
      <c r="F200" s="14" t="s">
        <v>68</v>
      </c>
      <c r="G200" s="14">
        <v>1</v>
      </c>
      <c r="H200" s="14" t="s">
        <v>12</v>
      </c>
      <c r="I200" s="5" t="str">
        <f>_xlfn.XLOOKUP(C200, CustomersTable[customer_id], CustomersTable[customer_segment])</f>
        <v>Retail</v>
      </c>
      <c r="J200" s="5" t="str">
        <f>_xlfn.XLOOKUP(D200,ChannelsTable[channel_id],ChannelsTable[channel_name])</f>
        <v>ATM</v>
      </c>
      <c r="K200" s="5">
        <f>_xlfn.XLOOKUP(C200, CustomersTable[customer_id], CustomersTable[account_age_days])</f>
        <v>10</v>
      </c>
      <c r="L200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HIGH_RISK</v>
      </c>
      <c r="M200" s="5" t="str" cm="1">
        <f t="array" ref="M200">_xlfn.IFS(AND(L200="HIGH_RISK", OR(I200="VIP", I200="Corporate")), "URGENT",AND(L200="HIGH_RISK", I200="Retail"), "HIGH",F200="DECLINED", "MEDIUM",TRUE, "LOW")</f>
        <v>HIGH</v>
      </c>
      <c r="N200" s="5">
        <f>_xlfn.XLOOKUP(TransactionsTable[[#This Row],[customer_id]],Table4[customer_id],Table4[risk_score])</f>
        <v>0</v>
      </c>
    </row>
    <row r="201" spans="1:14">
      <c r="A201" s="14" t="s">
        <v>266</v>
      </c>
      <c r="B201" s="15">
        <v>46112.886631944442</v>
      </c>
      <c r="C201" s="14" t="s">
        <v>33</v>
      </c>
      <c r="D201" s="14" t="s">
        <v>50</v>
      </c>
      <c r="E201" s="14">
        <v>3707</v>
      </c>
      <c r="F201" s="14" t="s">
        <v>66</v>
      </c>
      <c r="G201" s="14">
        <v>0</v>
      </c>
      <c r="H201" s="14" t="s">
        <v>8</v>
      </c>
      <c r="I201" s="5" t="str">
        <f>_xlfn.XLOOKUP(C201, CustomersTable[customer_id], CustomersTable[customer_segment])</f>
        <v>Corporate</v>
      </c>
      <c r="J201" s="5" t="str">
        <f>_xlfn.XLOOKUP(D201,ChannelsTable[channel_id],ChannelsTable[channel_name])</f>
        <v>POS</v>
      </c>
      <c r="K201" s="5">
        <f>_xlfn.XLOOKUP(C201, CustomersTable[customer_id], CustomersTable[account_age_days])</f>
        <v>1400</v>
      </c>
      <c r="L201" s="5" t="str">
        <f>IF(OR(AND(TransactionsTable[[#This Row],[is_night_transaction]]=1, TransactionsTable[[#This Row],[amount]]&gt;3000), AND(OR(TransactionsTable[[#This Row],[merchant_category]]="Crypto", TransactionsTable[[#This Row],[merchant_category]]="Gambling"), TransactionsTable[[#This Row],[status]]="DECLINED")), "HIGH_RISK", "NORMAL")</f>
        <v>NORMAL</v>
      </c>
      <c r="M201" s="5" t="str" cm="1">
        <f t="array" ref="M201">_xlfn.IFS(AND(L201="HIGH_RISK", OR(I201="VIP", I201="Corporate")), "URGENT",AND(L201="HIGH_RISK", I201="Retail"), "HIGH",F201="DECLINED", "MEDIUM",TRUE, "LOW")</f>
        <v>LOW</v>
      </c>
      <c r="N201" s="5">
        <f>_xlfn.XLOOKUP(TransactionsTable[[#This Row],[customer_id]],Table4[customer_id],Table4[risk_score])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A7E2-9F83-4D4A-A681-BFDC75745C9B}">
  <dimension ref="A1:D5"/>
  <sheetViews>
    <sheetView workbookViewId="0">
      <selection activeCell="B4" sqref="B4"/>
    </sheetView>
  </sheetViews>
  <sheetFormatPr defaultRowHeight="15"/>
  <cols>
    <col min="1" max="1" width="11" bestFit="1" customWidth="1"/>
    <col min="2" max="2" width="24.140625" customWidth="1"/>
    <col min="3" max="3" width="22.85546875" customWidth="1"/>
    <col min="4" max="4" width="27.42578125" bestFit="1" customWidth="1"/>
  </cols>
  <sheetData>
    <row r="1" spans="1:4">
      <c r="A1" s="9" t="s">
        <v>267</v>
      </c>
      <c r="B1" s="9" t="s">
        <v>268</v>
      </c>
      <c r="C1" s="9" t="s">
        <v>269</v>
      </c>
      <c r="D1" s="10" t="s">
        <v>270</v>
      </c>
    </row>
    <row r="2" spans="1:4">
      <c r="A2" s="11" t="s">
        <v>271</v>
      </c>
      <c r="B2" s="12">
        <f>COUNTIF(TransactionsTable[manual_review_priority], "URGENT")</f>
        <v>21</v>
      </c>
      <c r="C2" s="18">
        <f>SUMIF(TransactionsTable[manual_review_priority],"URGENT",TransactionsTable[amount])</f>
        <v>186174</v>
      </c>
      <c r="D2" s="13">
        <f>B2/COUNTA(TransactionsTable[transaction_id])</f>
        <v>0.105</v>
      </c>
    </row>
    <row r="3" spans="1:4">
      <c r="A3" s="9" t="s">
        <v>272</v>
      </c>
      <c r="B3" s="8">
        <f>COUNTIF(TransactionsTable[manual_review_priority], "HIGH")</f>
        <v>40</v>
      </c>
      <c r="C3" s="19">
        <f>SUMIF(TransactionsTable[manual_review_priority],"HIGH",TransactionsTable[amount])</f>
        <v>291653</v>
      </c>
      <c r="D3" s="13">
        <f>B3/COUNTA(TransactionsTable[transaction_id])</f>
        <v>0.2</v>
      </c>
    </row>
    <row r="4" spans="1:4">
      <c r="A4" s="11" t="s">
        <v>273</v>
      </c>
      <c r="B4" s="12">
        <f>COUNTIF(TransactionsTable[manual_review_priority], "MEDIUM")</f>
        <v>10</v>
      </c>
      <c r="C4" s="19">
        <f>SUMIF(TransactionsTable[manual_review_priority],"MEDIUM",TransactionsTable[amount])</f>
        <v>43952</v>
      </c>
      <c r="D4" s="13">
        <f>B4/COUNTA(TransactionsTable[transaction_id])</f>
        <v>0.05</v>
      </c>
    </row>
    <row r="5" spans="1:4">
      <c r="A5" s="6" t="s">
        <v>274</v>
      </c>
      <c r="B5" s="7">
        <f>COUNTIF(TransactionsTable[manual_review_priority], "LOW")</f>
        <v>129</v>
      </c>
      <c r="C5" s="19">
        <f>SUMIF(TransactionsTable[manual_review_priority],"LOW",TransactionsTable[amount])</f>
        <v>424835</v>
      </c>
      <c r="D5" s="13">
        <f>B5/COUNTA(TransactionsTable[transaction_id])</f>
        <v>0.64500000000000002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794E-C22C-4DEB-AF1B-C863BFEB4EB3}">
  <dimension ref="A3:D9"/>
  <sheetViews>
    <sheetView workbookViewId="0">
      <selection activeCell="A3" sqref="A3"/>
    </sheetView>
  </sheetViews>
  <sheetFormatPr defaultRowHeight="15"/>
  <cols>
    <col min="1" max="1" width="23" bestFit="1" customWidth="1"/>
    <col min="2" max="2" width="11.7109375" bestFit="1" customWidth="1"/>
    <col min="3" max="3" width="8.85546875" bestFit="1" customWidth="1"/>
    <col min="4" max="4" width="11.42578125" bestFit="1" customWidth="1"/>
  </cols>
  <sheetData>
    <row r="3" spans="1:4">
      <c r="A3" s="16" t="s">
        <v>275</v>
      </c>
      <c r="B3" s="16" t="s">
        <v>62</v>
      </c>
    </row>
    <row r="4" spans="1:4">
      <c r="A4" s="16" t="s">
        <v>64</v>
      </c>
      <c r="B4" t="s">
        <v>276</v>
      </c>
      <c r="C4" t="s">
        <v>277</v>
      </c>
      <c r="D4" t="s">
        <v>278</v>
      </c>
    </row>
    <row r="5" spans="1:4">
      <c r="A5">
        <v>0</v>
      </c>
      <c r="B5" s="5">
        <v>16</v>
      </c>
      <c r="C5" s="5">
        <v>55</v>
      </c>
      <c r="D5" s="5">
        <v>71</v>
      </c>
    </row>
    <row r="6" spans="1:4">
      <c r="A6">
        <v>1</v>
      </c>
      <c r="B6" s="5">
        <v>13</v>
      </c>
      <c r="C6" s="5">
        <v>46</v>
      </c>
      <c r="D6" s="5">
        <v>59</v>
      </c>
    </row>
    <row r="7" spans="1:4">
      <c r="A7">
        <v>2</v>
      </c>
      <c r="B7" s="5">
        <v>15</v>
      </c>
      <c r="C7" s="5">
        <v>15</v>
      </c>
      <c r="D7" s="5">
        <v>30</v>
      </c>
    </row>
    <row r="8" spans="1:4">
      <c r="A8">
        <v>3</v>
      </c>
      <c r="B8" s="5">
        <v>17</v>
      </c>
      <c r="C8" s="5">
        <v>23</v>
      </c>
      <c r="D8" s="5">
        <v>40</v>
      </c>
    </row>
    <row r="9" spans="1:4">
      <c r="A9" t="s">
        <v>278</v>
      </c>
      <c r="B9" s="5">
        <v>61</v>
      </c>
      <c r="C9" s="5">
        <v>139</v>
      </c>
      <c r="D9" s="5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7610-A53B-40F8-8FD9-72EBC44C66BD}">
  <dimension ref="A3:D10"/>
  <sheetViews>
    <sheetView workbookViewId="0">
      <selection activeCell="G21" sqref="G21"/>
    </sheetView>
  </sheetViews>
  <sheetFormatPr defaultRowHeight="15"/>
  <cols>
    <col min="1" max="1" width="17.42578125" bestFit="1" customWidth="1"/>
    <col min="2" max="2" width="11.7109375" bestFit="1" customWidth="1"/>
    <col min="3" max="3" width="9.28515625" bestFit="1" customWidth="1"/>
    <col min="4" max="4" width="11.42578125" bestFit="1" customWidth="1"/>
    <col min="5" max="5" width="14.7109375" bestFit="1" customWidth="1"/>
    <col min="6" max="6" width="27.140625" bestFit="1" customWidth="1"/>
    <col min="7" max="7" width="19.5703125" bestFit="1" customWidth="1"/>
  </cols>
  <sheetData>
    <row r="3" spans="1:4">
      <c r="A3" s="16" t="s">
        <v>279</v>
      </c>
      <c r="B3" s="16" t="s">
        <v>62</v>
      </c>
    </row>
    <row r="4" spans="1:4">
      <c r="A4" s="16" t="s">
        <v>47</v>
      </c>
      <c r="B4" t="s">
        <v>276</v>
      </c>
      <c r="C4" t="s">
        <v>277</v>
      </c>
      <c r="D4" t="s">
        <v>278</v>
      </c>
    </row>
    <row r="5" spans="1:4">
      <c r="A5" t="s">
        <v>49</v>
      </c>
      <c r="B5" s="17">
        <v>69927</v>
      </c>
      <c r="C5" s="17">
        <v>83947</v>
      </c>
      <c r="D5" s="17">
        <v>153874</v>
      </c>
    </row>
    <row r="6" spans="1:4">
      <c r="A6" t="s">
        <v>55</v>
      </c>
      <c r="B6" s="17">
        <v>74043</v>
      </c>
      <c r="C6" s="17">
        <v>64204</v>
      </c>
      <c r="D6" s="17">
        <v>138247</v>
      </c>
    </row>
    <row r="7" spans="1:4">
      <c r="A7" t="s">
        <v>53</v>
      </c>
      <c r="B7" s="17">
        <v>224820</v>
      </c>
      <c r="C7" s="17">
        <v>182693</v>
      </c>
      <c r="D7" s="17">
        <v>407513</v>
      </c>
    </row>
    <row r="8" spans="1:4">
      <c r="A8" t="s">
        <v>51</v>
      </c>
      <c r="B8" s="17">
        <v>109037</v>
      </c>
      <c r="C8" s="17">
        <v>135343</v>
      </c>
      <c r="D8" s="17">
        <v>244380</v>
      </c>
    </row>
    <row r="9" spans="1:4">
      <c r="A9" t="s">
        <v>280</v>
      </c>
      <c r="B9" s="17"/>
      <c r="C9" s="17">
        <v>600</v>
      </c>
      <c r="D9" s="17">
        <v>600</v>
      </c>
    </row>
    <row r="10" spans="1:4">
      <c r="A10" t="s">
        <v>278</v>
      </c>
      <c r="B10" s="17">
        <v>477827</v>
      </c>
      <c r="C10" s="17">
        <v>466787</v>
      </c>
      <c r="D10" s="17">
        <v>944614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A1CE-4788-4E2B-AA24-6A8F21CDF16E}">
  <dimension ref="A3:E8"/>
  <sheetViews>
    <sheetView workbookViewId="0">
      <selection activeCell="L24" sqref="L24"/>
    </sheetView>
  </sheetViews>
  <sheetFormatPr defaultRowHeight="15"/>
  <cols>
    <col min="1" max="1" width="22.28515625" bestFit="1" customWidth="1"/>
    <col min="2" max="2" width="25.42578125" bestFit="1" customWidth="1"/>
    <col min="3" max="3" width="8.7109375" bestFit="1" customWidth="1"/>
    <col min="4" max="4" width="5.85546875" bestFit="1" customWidth="1"/>
    <col min="5" max="5" width="8.5703125" bestFit="1" customWidth="1"/>
    <col min="6" max="6" width="11.42578125" bestFit="1" customWidth="1"/>
  </cols>
  <sheetData>
    <row r="3" spans="1:5">
      <c r="A3" s="16" t="s">
        <v>275</v>
      </c>
      <c r="B3" s="16" t="s">
        <v>63</v>
      </c>
    </row>
    <row r="4" spans="1:5">
      <c r="A4" s="16" t="s">
        <v>19</v>
      </c>
      <c r="B4" t="s">
        <v>274</v>
      </c>
      <c r="C4" t="s">
        <v>273</v>
      </c>
      <c r="D4" t="s">
        <v>272</v>
      </c>
      <c r="E4" t="s">
        <v>271</v>
      </c>
    </row>
    <row r="5" spans="1:5">
      <c r="A5" t="s">
        <v>7</v>
      </c>
      <c r="B5" s="5">
        <v>19</v>
      </c>
      <c r="C5" s="5">
        <v>1</v>
      </c>
      <c r="D5" s="5">
        <v>0</v>
      </c>
      <c r="E5" s="5">
        <v>6</v>
      </c>
    </row>
    <row r="6" spans="1:5">
      <c r="A6" t="s">
        <v>11</v>
      </c>
      <c r="B6" s="5">
        <v>60</v>
      </c>
      <c r="C6" s="5">
        <v>5</v>
      </c>
      <c r="D6" s="5">
        <v>40</v>
      </c>
      <c r="E6" s="5">
        <v>0</v>
      </c>
    </row>
    <row r="7" spans="1:5">
      <c r="A7" t="s">
        <v>23</v>
      </c>
      <c r="B7" s="5">
        <v>50</v>
      </c>
      <c r="C7" s="5">
        <v>4</v>
      </c>
      <c r="D7" s="5">
        <v>0</v>
      </c>
      <c r="E7" s="5">
        <v>15</v>
      </c>
    </row>
    <row r="8" spans="1:5">
      <c r="A8" t="s">
        <v>278</v>
      </c>
      <c r="B8" s="5">
        <v>129</v>
      </c>
      <c r="C8" s="5">
        <v>10</v>
      </c>
      <c r="D8" s="5">
        <v>40</v>
      </c>
      <c r="E8" s="5">
        <v>21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89C6-7375-4166-A143-F48D747DA1D6}">
  <dimension ref="A1:M29"/>
  <sheetViews>
    <sheetView workbookViewId="0">
      <selection activeCell="L6" sqref="L6"/>
    </sheetView>
  </sheetViews>
  <sheetFormatPr defaultRowHeight="15"/>
  <cols>
    <col min="1" max="1" width="14.42578125" bestFit="1" customWidth="1"/>
    <col min="2" max="2" width="19.85546875" bestFit="1" customWidth="1"/>
    <col min="3" max="3" width="13.42578125" bestFit="1" customWidth="1"/>
    <col min="4" max="4" width="20.42578125" bestFit="1" customWidth="1"/>
    <col min="5" max="5" width="15.42578125" customWidth="1"/>
    <col min="6" max="6" width="13.28515625" customWidth="1"/>
    <col min="7" max="7" width="22.5703125" customWidth="1"/>
    <col min="8" max="8" width="16.28515625" customWidth="1"/>
    <col min="9" max="9" width="19.5703125" customWidth="1"/>
    <col min="10" max="10" width="19" customWidth="1"/>
    <col min="11" max="12" width="18.28515625" customWidth="1"/>
    <col min="13" max="13" width="12.7109375" customWidth="1"/>
  </cols>
  <sheetData>
    <row r="1" spans="1:13">
      <c r="A1" t="s">
        <v>18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</row>
    <row r="2" spans="1:13">
      <c r="A2" s="20" t="s">
        <v>22</v>
      </c>
      <c r="B2">
        <f>COUNTIF(TransactionsTable[customer_id],Customer_Risk_Profile!A2)</f>
        <v>17</v>
      </c>
      <c r="C2" s="17">
        <f>SUMIF(TransactionsTable[customer_id],Customer_Risk_Profile!A2,TransactionsTable[amount])</f>
        <v>62504</v>
      </c>
      <c r="D2" s="17">
        <f>C2/B2</f>
        <v>3676.705882352941</v>
      </c>
      <c r="E2">
        <f>COUNTIFS(TransactionsTable[customer_id],A2,TransactionsTable[status],"DECLINED")</f>
        <v>2</v>
      </c>
      <c r="F2" s="23">
        <f>IFERROR(E2/B2,0)</f>
        <v>0.11764705882352941</v>
      </c>
      <c r="G2" s="23">
        <f>COUNTIFS(TransactionsTable[customer_id],Table4[[#This Row],[customer_id]],TransactionsTable[is_night_transaction],1)/Table4[[#This Row],[transaction_count]]</f>
        <v>0.29411764705882354</v>
      </c>
      <c r="H2">
        <f>COUNTIFS(TransactionsTable[customer_id],Table4[[#This Row],[customer_id]],TransactionsTable[risk_flag],"HIGH_RISK")</f>
        <v>3</v>
      </c>
      <c r="I2" t="str">
        <f>IF(Table4[[#This Row],[decline_rate]]&gt;=40%,"HIGH_DECLINE","NORMAL")</f>
        <v>NORMAL</v>
      </c>
      <c r="J2" s="5" t="str">
        <f>IF(Table4[[#This Row],[night_transaction_rate]]&gt;=50%,"HIGH_ACTIVITY","NORMAL")</f>
        <v>NORMAL</v>
      </c>
      <c r="K2" s="5" t="str">
        <f>IF(Table4[[#This Row],[high_risk_count]]&gt;=5,"HIGH_RISK_ACTIVITY","NORMAL")</f>
        <v>NORMAL</v>
      </c>
      <c r="L2" s="5" t="str">
        <f>IF(Table4[[#This Row],[transaction_count]]&gt;=15,"HIGH_ACTIVITY","NORMAL")</f>
        <v>HIGH_ACTIVITY</v>
      </c>
      <c r="M2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1</v>
      </c>
    </row>
    <row r="3" spans="1:13">
      <c r="A3" s="21" t="s">
        <v>25</v>
      </c>
      <c r="B3">
        <f>COUNTIF(TransactionsTable[customer_id],Customer_Risk_Profile!A3)</f>
        <v>7</v>
      </c>
      <c r="C3" s="17">
        <f>SUMIF(TransactionsTable[customer_id],Customer_Risk_Profile!A3,TransactionsTable[amount])</f>
        <v>17154</v>
      </c>
      <c r="D3" s="17">
        <f>C3/B3</f>
        <v>2450.5714285714284</v>
      </c>
      <c r="E3">
        <f>COUNTIFS(TransactionsTable[customer_id],A3,TransactionsTable[status],"DECLINED")</f>
        <v>2</v>
      </c>
      <c r="F3" s="23">
        <f>IFERROR(E3/B3,0)</f>
        <v>0.2857142857142857</v>
      </c>
      <c r="G3" s="23">
        <f>COUNTIFS(TransactionsTable[customer_id],Table4[[#This Row],[customer_id]],TransactionsTable[is_night_transaction],1)/Table4[[#This Row],[transaction_count]]</f>
        <v>0.14285714285714285</v>
      </c>
      <c r="H3">
        <f>COUNTIFS(TransactionsTable[customer_id],Table4[[#This Row],[customer_id]],TransactionsTable[risk_flag],"HIGH_RISK")</f>
        <v>2</v>
      </c>
      <c r="I3" t="str">
        <f>IF(Table4[[#This Row],[decline_rate]]&gt;=40%,"HIGH_DECLINE","NORMAL")</f>
        <v>NORMAL</v>
      </c>
      <c r="J3" s="5" t="str">
        <f>IF(Table4[[#This Row],[night_transaction_rate]]&gt;=50%,"HIGH_ACTIVITY","NORMAL")</f>
        <v>NORMAL</v>
      </c>
      <c r="K3" s="5" t="str">
        <f>IF(Table4[[#This Row],[high_risk_count]]&gt;=5,"HIGH_RISK_ACTIVITY","NORMAL")</f>
        <v>NORMAL</v>
      </c>
      <c r="L3" s="5" t="str">
        <f>IF(Table4[[#This Row],[transaction_count]]&gt;=15,"HIGH_ACTIVITY","NORMAL")</f>
        <v>NORMAL</v>
      </c>
      <c r="M3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4" spans="1:13">
      <c r="A4" s="20" t="s">
        <v>26</v>
      </c>
      <c r="B4">
        <f>COUNTIF(TransactionsTable[customer_id],Customer_Risk_Profile!A4)</f>
        <v>7</v>
      </c>
      <c r="C4" s="17">
        <f>SUMIF(TransactionsTable[customer_id],Customer_Risk_Profile!A4,TransactionsTable[amount])</f>
        <v>43924</v>
      </c>
      <c r="D4" s="17">
        <f>C4/B4</f>
        <v>6274.8571428571431</v>
      </c>
      <c r="E4">
        <f>COUNTIFS(TransactionsTable[customer_id],A4,TransactionsTable[status],"DECLINED")</f>
        <v>0</v>
      </c>
      <c r="F4" s="23">
        <f>IFERROR(E4/B4,0)</f>
        <v>0</v>
      </c>
      <c r="G4" s="23">
        <f>COUNTIFS(TransactionsTable[customer_id],Table4[[#This Row],[customer_id]],TransactionsTable[is_night_transaction],1)/Table4[[#This Row],[transaction_count]]</f>
        <v>0.14285714285714285</v>
      </c>
      <c r="H4">
        <f>COUNTIFS(TransactionsTable[customer_id],Table4[[#This Row],[customer_id]],TransactionsTable[risk_flag],"HIGH_RISK")</f>
        <v>0</v>
      </c>
      <c r="I4" t="str">
        <f>IF(Table4[[#This Row],[decline_rate]]&gt;=40%,"HIGH_DECLINE","NORMAL")</f>
        <v>NORMAL</v>
      </c>
      <c r="J4" s="5" t="str">
        <f>IF(Table4[[#This Row],[night_transaction_rate]]&gt;=50%,"HIGH_ACTIVITY","NORMAL")</f>
        <v>NORMAL</v>
      </c>
      <c r="K4" s="5" t="str">
        <f>IF(Table4[[#This Row],[high_risk_count]]&gt;=5,"HIGH_RISK_ACTIVITY","NORMAL")</f>
        <v>NORMAL</v>
      </c>
      <c r="L4" s="5" t="str">
        <f>IF(Table4[[#This Row],[transaction_count]]&gt;=15,"HIGH_ACTIVITY","NORMAL")</f>
        <v>NORMAL</v>
      </c>
      <c r="M4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5" spans="1:13">
      <c r="A5" s="21" t="s">
        <v>27</v>
      </c>
      <c r="B5">
        <f>COUNTIF(TransactionsTable[customer_id],Customer_Risk_Profile!A5)</f>
        <v>21</v>
      </c>
      <c r="C5" s="17">
        <f>SUMIF(TransactionsTable[customer_id],Customer_Risk_Profile!A5,TransactionsTable[amount])</f>
        <v>101902</v>
      </c>
      <c r="D5" s="17">
        <f>C5/B5</f>
        <v>4852.4761904761908</v>
      </c>
      <c r="E5">
        <f>COUNTIFS(TransactionsTable[customer_id],A5,TransactionsTable[status],"DECLINED")</f>
        <v>7</v>
      </c>
      <c r="F5" s="23">
        <f>IFERROR(E5/B5,0)</f>
        <v>0.33333333333333331</v>
      </c>
      <c r="G5" s="23">
        <f>COUNTIFS(TransactionsTable[customer_id],Table4[[#This Row],[customer_id]],TransactionsTable[is_night_transaction],1)/Table4[[#This Row],[transaction_count]]</f>
        <v>0.38095238095238093</v>
      </c>
      <c r="H5">
        <f>COUNTIFS(TransactionsTable[customer_id],Table4[[#This Row],[customer_id]],TransactionsTable[risk_flag],"HIGH_RISK")</f>
        <v>8</v>
      </c>
      <c r="I5" t="str">
        <f>IF(Table4[[#This Row],[decline_rate]]&gt;=40%,"HIGH_DECLINE","NORMAL")</f>
        <v>NORMAL</v>
      </c>
      <c r="J5" s="5" t="str">
        <f>IF(Table4[[#This Row],[night_transaction_rate]]&gt;=50%,"HIGH_ACTIVITY","NORMAL")</f>
        <v>NORMAL</v>
      </c>
      <c r="K5" s="5" t="str">
        <f>IF(Table4[[#This Row],[high_risk_count]]&gt;=5,"HIGH_RISK_ACTIVITY","NORMAL")</f>
        <v>HIGH_RISK_ACTIVITY</v>
      </c>
      <c r="L5" s="5" t="str">
        <f>IF(Table4[[#This Row],[transaction_count]]&gt;=15,"HIGH_ACTIVITY","NORMAL")</f>
        <v>HIGH_ACTIVITY</v>
      </c>
      <c r="M5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3</v>
      </c>
    </row>
    <row r="6" spans="1:13">
      <c r="A6" s="20" t="s">
        <v>29</v>
      </c>
      <c r="B6">
        <f>COUNTIF(TransactionsTable[customer_id],Customer_Risk_Profile!A6)</f>
        <v>12</v>
      </c>
      <c r="C6" s="17">
        <f>SUMIF(TransactionsTable[customer_id],Customer_Risk_Profile!A6,TransactionsTable[amount])</f>
        <v>44335</v>
      </c>
      <c r="D6" s="17">
        <f>C6/B6</f>
        <v>3694.5833333333335</v>
      </c>
      <c r="E6">
        <f>COUNTIFS(TransactionsTable[customer_id],A6,TransactionsTable[status],"DECLINED")</f>
        <v>4</v>
      </c>
      <c r="F6" s="23">
        <f>IFERROR(E6/B6,0)</f>
        <v>0.33333333333333331</v>
      </c>
      <c r="G6" s="23">
        <f>COUNTIFS(TransactionsTable[customer_id],Table4[[#This Row],[customer_id]],TransactionsTable[is_night_transaction],1)/Table4[[#This Row],[transaction_count]]</f>
        <v>0.33333333333333331</v>
      </c>
      <c r="H6">
        <f>COUNTIFS(TransactionsTable[customer_id],Table4[[#This Row],[customer_id]],TransactionsTable[risk_flag],"HIGH_RISK")</f>
        <v>6</v>
      </c>
      <c r="I6" t="str">
        <f>IF(Table4[[#This Row],[decline_rate]]&gt;=40%,"HIGH_DECLINE","NORMAL")</f>
        <v>NORMAL</v>
      </c>
      <c r="J6" s="5" t="str">
        <f>IF(Table4[[#This Row],[night_transaction_rate]]&gt;=50%,"HIGH_ACTIVITY","NORMAL")</f>
        <v>NORMAL</v>
      </c>
      <c r="K6" s="5" t="str">
        <f>IF(Table4[[#This Row],[high_risk_count]]&gt;=5,"HIGH_RISK_ACTIVITY","NORMAL")</f>
        <v>HIGH_RISK_ACTIVITY</v>
      </c>
      <c r="L6" s="5" t="str">
        <f>IF(Table4[[#This Row],[transaction_count]]&gt;=15,"HIGH_ACTIVITY","NORMAL")</f>
        <v>NORMAL</v>
      </c>
      <c r="M6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2</v>
      </c>
    </row>
    <row r="7" spans="1:13">
      <c r="A7" s="21" t="s">
        <v>31</v>
      </c>
      <c r="B7">
        <f>COUNTIF(TransactionsTable[customer_id],Customer_Risk_Profile!A7)</f>
        <v>14</v>
      </c>
      <c r="C7" s="17">
        <f>SUMIF(TransactionsTable[customer_id],Customer_Risk_Profile!A7,TransactionsTable[amount])</f>
        <v>74503</v>
      </c>
      <c r="D7" s="17">
        <f>C7/B7</f>
        <v>5321.6428571428569</v>
      </c>
      <c r="E7">
        <f>COUNTIFS(TransactionsTable[customer_id],A7,TransactionsTable[status],"DECLINED")</f>
        <v>6</v>
      </c>
      <c r="F7" s="23">
        <f>IFERROR(E7/B7,0)</f>
        <v>0.42857142857142855</v>
      </c>
      <c r="G7" s="23">
        <f>COUNTIFS(TransactionsTable[customer_id],Table4[[#This Row],[customer_id]],TransactionsTable[is_night_transaction],1)/Table4[[#This Row],[transaction_count]]</f>
        <v>0.35714285714285715</v>
      </c>
      <c r="H7">
        <f>COUNTIFS(TransactionsTable[customer_id],Table4[[#This Row],[customer_id]],TransactionsTable[risk_flag],"HIGH_RISK")</f>
        <v>4</v>
      </c>
      <c r="I7" t="str">
        <f>IF(Table4[[#This Row],[decline_rate]]&gt;=40%,"HIGH_DECLINE","NORMAL")</f>
        <v>HIGH_DECLINE</v>
      </c>
      <c r="J7" s="5" t="str">
        <f>IF(Table4[[#This Row],[night_transaction_rate]]&gt;=50%,"HIGH_ACTIVITY","NORMAL")</f>
        <v>NORMAL</v>
      </c>
      <c r="K7" s="5" t="str">
        <f>IF(Table4[[#This Row],[high_risk_count]]&gt;=5,"HIGH_RISK_ACTIVITY","NORMAL")</f>
        <v>NORMAL</v>
      </c>
      <c r="L7" s="5" t="str">
        <f>IF(Table4[[#This Row],[transaction_count]]&gt;=15,"HIGH_ACTIVITY","NORMAL")</f>
        <v>NORMAL</v>
      </c>
      <c r="M7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1</v>
      </c>
    </row>
    <row r="8" spans="1:13">
      <c r="A8" s="20" t="s">
        <v>32</v>
      </c>
      <c r="B8">
        <f>COUNTIF(TransactionsTable[customer_id],Customer_Risk_Profile!A8)</f>
        <v>13</v>
      </c>
      <c r="C8" s="17">
        <f>SUMIF(TransactionsTable[customer_id],Customer_Risk_Profile!A8,TransactionsTable[amount])</f>
        <v>49277</v>
      </c>
      <c r="D8" s="17">
        <f>C8/B8</f>
        <v>3790.5384615384614</v>
      </c>
      <c r="E8">
        <f>COUNTIFS(TransactionsTable[customer_id],A8,TransactionsTable[status],"DECLINED")</f>
        <v>5</v>
      </c>
      <c r="F8" s="23">
        <f>IFERROR(E8/B8,0)</f>
        <v>0.38461538461538464</v>
      </c>
      <c r="G8" s="23">
        <f>COUNTIFS(TransactionsTable[customer_id],Table4[[#This Row],[customer_id]],TransactionsTable[is_night_transaction],1)/Table4[[#This Row],[transaction_count]]</f>
        <v>0.46153846153846156</v>
      </c>
      <c r="H8">
        <f>COUNTIFS(TransactionsTable[customer_id],Table4[[#This Row],[customer_id]],TransactionsTable[risk_flag],"HIGH_RISK")</f>
        <v>5</v>
      </c>
      <c r="I8" t="str">
        <f>IF(Table4[[#This Row],[decline_rate]]&gt;=40%,"HIGH_DECLINE","NORMAL")</f>
        <v>NORMAL</v>
      </c>
      <c r="J8" s="5" t="str">
        <f>IF(Table4[[#This Row],[night_transaction_rate]]&gt;=50%,"HIGH_ACTIVITY","NORMAL")</f>
        <v>NORMAL</v>
      </c>
      <c r="K8" s="5" t="str">
        <f>IF(Table4[[#This Row],[high_risk_count]]&gt;=5,"HIGH_RISK_ACTIVITY","NORMAL")</f>
        <v>HIGH_RISK_ACTIVITY</v>
      </c>
      <c r="L8" s="5" t="str">
        <f>IF(Table4[[#This Row],[transaction_count]]&gt;=15,"HIGH_ACTIVITY","NORMAL")</f>
        <v>NORMAL</v>
      </c>
      <c r="M8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2</v>
      </c>
    </row>
    <row r="9" spans="1:13">
      <c r="A9" s="21" t="s">
        <v>33</v>
      </c>
      <c r="B9">
        <f>COUNTIF(TransactionsTable[customer_id],Customer_Risk_Profile!A9)</f>
        <v>11</v>
      </c>
      <c r="C9" s="17">
        <f>SUMIF(TransactionsTable[customer_id],Customer_Risk_Profile!A9,TransactionsTable[amount])</f>
        <v>95109</v>
      </c>
      <c r="D9" s="17">
        <f>C9/B9</f>
        <v>8646.2727272727279</v>
      </c>
      <c r="E9">
        <f>COUNTIFS(TransactionsTable[customer_id],A9,TransactionsTable[status],"DECLINED")</f>
        <v>4</v>
      </c>
      <c r="F9" s="23">
        <f>IFERROR(E9/B9,0)</f>
        <v>0.36363636363636365</v>
      </c>
      <c r="G9" s="23">
        <f>COUNTIFS(TransactionsTable[customer_id],Table4[[#This Row],[customer_id]],TransactionsTable[is_night_transaction],1)/Table4[[#This Row],[transaction_count]]</f>
        <v>9.0909090909090912E-2</v>
      </c>
      <c r="H9">
        <f>COUNTIFS(TransactionsTable[customer_id],Table4[[#This Row],[customer_id]],TransactionsTable[risk_flag],"HIGH_RISK")</f>
        <v>4</v>
      </c>
      <c r="I9" t="str">
        <f>IF(Table4[[#This Row],[decline_rate]]&gt;=40%,"HIGH_DECLINE","NORMAL")</f>
        <v>NORMAL</v>
      </c>
      <c r="J9" s="5" t="str">
        <f>IF(Table4[[#This Row],[night_transaction_rate]]&gt;=50%,"HIGH_ACTIVITY","NORMAL")</f>
        <v>NORMAL</v>
      </c>
      <c r="K9" s="5" t="str">
        <f>IF(Table4[[#This Row],[high_risk_count]]&gt;=5,"HIGH_RISK_ACTIVITY","NORMAL")</f>
        <v>NORMAL</v>
      </c>
      <c r="L9" s="5" t="str">
        <f>IF(Table4[[#This Row],[transaction_count]]&gt;=15,"HIGH_ACTIVITY","NORMAL")</f>
        <v>NORMAL</v>
      </c>
      <c r="M9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10" spans="1:13">
      <c r="A10" s="20" t="s">
        <v>34</v>
      </c>
      <c r="B10">
        <f>COUNTIF(TransactionsTable[customer_id],Customer_Risk_Profile!A10)</f>
        <v>19</v>
      </c>
      <c r="C10" s="17">
        <f>SUMIF(TransactionsTable[customer_id],Customer_Risk_Profile!A10,TransactionsTable[amount])</f>
        <v>92155</v>
      </c>
      <c r="D10" s="17">
        <f>C10/B10</f>
        <v>4850.2631578947367</v>
      </c>
      <c r="E10">
        <f>COUNTIFS(TransactionsTable[customer_id],A10,TransactionsTable[status],"DECLINED")</f>
        <v>6</v>
      </c>
      <c r="F10" s="23">
        <f>IFERROR(E10/B10,0)</f>
        <v>0.31578947368421051</v>
      </c>
      <c r="G10" s="23">
        <f>COUNTIFS(TransactionsTable[customer_id],Table4[[#This Row],[customer_id]],TransactionsTable[is_night_transaction],1)/Table4[[#This Row],[transaction_count]]</f>
        <v>0.47368421052631576</v>
      </c>
      <c r="H10">
        <f>COUNTIFS(TransactionsTable[customer_id],Table4[[#This Row],[customer_id]],TransactionsTable[risk_flag],"HIGH_RISK")</f>
        <v>9</v>
      </c>
      <c r="I10" t="str">
        <f>IF(Table4[[#This Row],[decline_rate]]&gt;=40%,"HIGH_DECLINE","NORMAL")</f>
        <v>NORMAL</v>
      </c>
      <c r="J10" s="5" t="str">
        <f>IF(Table4[[#This Row],[night_transaction_rate]]&gt;=50%,"HIGH_ACTIVITY","NORMAL")</f>
        <v>NORMAL</v>
      </c>
      <c r="K10" s="5" t="str">
        <f>IF(Table4[[#This Row],[high_risk_count]]&gt;=5,"HIGH_RISK_ACTIVITY","NORMAL")</f>
        <v>HIGH_RISK_ACTIVITY</v>
      </c>
      <c r="L10" s="5" t="str">
        <f>IF(Table4[[#This Row],[transaction_count]]&gt;=15,"HIGH_ACTIVITY","NORMAL")</f>
        <v>HIGH_ACTIVITY</v>
      </c>
      <c r="M10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3</v>
      </c>
    </row>
    <row r="11" spans="1:13">
      <c r="A11" s="21" t="s">
        <v>35</v>
      </c>
      <c r="B11">
        <f>COUNTIF(TransactionsTable[customer_id],Customer_Risk_Profile!A11)</f>
        <v>16</v>
      </c>
      <c r="C11" s="17">
        <f>SUMIF(TransactionsTable[customer_id],Customer_Risk_Profile!A11,TransactionsTable[amount])</f>
        <v>47880</v>
      </c>
      <c r="D11" s="17">
        <f>C11/B11</f>
        <v>2992.5</v>
      </c>
      <c r="E11">
        <f>COUNTIFS(TransactionsTable[customer_id],A11,TransactionsTable[status],"DECLINED")</f>
        <v>4</v>
      </c>
      <c r="F11" s="23">
        <f>IFERROR(E11/B11,0)</f>
        <v>0.25</v>
      </c>
      <c r="G11" s="23">
        <f>COUNTIFS(TransactionsTable[customer_id],Table4[[#This Row],[customer_id]],TransactionsTable[is_night_transaction],1)/Table4[[#This Row],[transaction_count]]</f>
        <v>6.25E-2</v>
      </c>
      <c r="H11">
        <f>COUNTIFS(TransactionsTable[customer_id],Table4[[#This Row],[customer_id]],TransactionsTable[risk_flag],"HIGH_RISK")</f>
        <v>4</v>
      </c>
      <c r="I11" t="str">
        <f>IF(Table4[[#This Row],[decline_rate]]&gt;=40%,"HIGH_DECLINE","NORMAL")</f>
        <v>NORMAL</v>
      </c>
      <c r="J11" s="5" t="str">
        <f>IF(Table4[[#This Row],[night_transaction_rate]]&gt;=50%,"HIGH_ACTIVITY","NORMAL")</f>
        <v>NORMAL</v>
      </c>
      <c r="K11" s="5" t="str">
        <f>IF(Table4[[#This Row],[high_risk_count]]&gt;=5,"HIGH_RISK_ACTIVITY","NORMAL")</f>
        <v>NORMAL</v>
      </c>
      <c r="L11" s="5" t="str">
        <f>IF(Table4[[#This Row],[transaction_count]]&gt;=15,"HIGH_ACTIVITY","NORMAL")</f>
        <v>HIGH_ACTIVITY</v>
      </c>
      <c r="M11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1</v>
      </c>
    </row>
    <row r="12" spans="1:13">
      <c r="A12" s="20" t="s">
        <v>36</v>
      </c>
      <c r="B12">
        <f>COUNTIF(TransactionsTable[customer_id],Customer_Risk_Profile!A12)</f>
        <v>5</v>
      </c>
      <c r="C12" s="17">
        <f>SUMIF(TransactionsTable[customer_id],Customer_Risk_Profile!A12,TransactionsTable[amount])</f>
        <v>27557</v>
      </c>
      <c r="D12" s="17">
        <f>C12/B12</f>
        <v>5511.4</v>
      </c>
      <c r="E12">
        <f>COUNTIFS(TransactionsTable[customer_id],A12,TransactionsTable[status],"DECLINED")</f>
        <v>2</v>
      </c>
      <c r="F12" s="23">
        <f>IFERROR(E12/B12,0)</f>
        <v>0.4</v>
      </c>
      <c r="G12" s="23">
        <f>COUNTIFS(TransactionsTable[customer_id],Table4[[#This Row],[customer_id]],TransactionsTable[is_night_transaction],1)/Table4[[#This Row],[transaction_count]]</f>
        <v>0.8</v>
      </c>
      <c r="H12">
        <f>COUNTIFS(TransactionsTable[customer_id],Table4[[#This Row],[customer_id]],TransactionsTable[risk_flag],"HIGH_RISK")</f>
        <v>4</v>
      </c>
      <c r="I12" t="str">
        <f>IF(Table4[[#This Row],[decline_rate]]&gt;=40%,"HIGH_DECLINE","NORMAL")</f>
        <v>HIGH_DECLINE</v>
      </c>
      <c r="J12" s="5" t="str">
        <f>IF(Table4[[#This Row],[night_transaction_rate]]&gt;=50%,"HIGH_ACTIVITY","NORMAL")</f>
        <v>HIGH_ACTIVITY</v>
      </c>
      <c r="K12" s="5" t="str">
        <f>IF(Table4[[#This Row],[high_risk_count]]&gt;=5,"HIGH_RISK_ACTIVITY","NORMAL")</f>
        <v>NORMAL</v>
      </c>
      <c r="L12" s="5" t="str">
        <f>IF(Table4[[#This Row],[transaction_count]]&gt;=15,"HIGH_ACTIVITY","NORMAL")</f>
        <v>NORMAL</v>
      </c>
      <c r="M12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2</v>
      </c>
    </row>
    <row r="13" spans="1:13">
      <c r="A13" s="21" t="s">
        <v>37</v>
      </c>
      <c r="B13">
        <f>COUNTIF(TransactionsTable[customer_id],Customer_Risk_Profile!A13)</f>
        <v>7</v>
      </c>
      <c r="C13" s="17">
        <f>SUMIF(TransactionsTable[customer_id],Customer_Risk_Profile!A13,TransactionsTable[amount])</f>
        <v>58188</v>
      </c>
      <c r="D13" s="17">
        <f>C13/B13</f>
        <v>8312.5714285714294</v>
      </c>
      <c r="E13">
        <f>COUNTIFS(TransactionsTable[customer_id],A13,TransactionsTable[status],"DECLINED")</f>
        <v>2</v>
      </c>
      <c r="F13" s="23">
        <f>IFERROR(E13/B13,0)</f>
        <v>0.2857142857142857</v>
      </c>
      <c r="G13" s="23">
        <f>COUNTIFS(TransactionsTable[customer_id],Table4[[#This Row],[customer_id]],TransactionsTable[is_night_transaction],1)/Table4[[#This Row],[transaction_count]]</f>
        <v>0.42857142857142855</v>
      </c>
      <c r="H13">
        <f>COUNTIFS(TransactionsTable[customer_id],Table4[[#This Row],[customer_id]],TransactionsTable[risk_flag],"HIGH_RISK")</f>
        <v>3</v>
      </c>
      <c r="I13" t="str">
        <f>IF(Table4[[#This Row],[decline_rate]]&gt;=40%,"HIGH_DECLINE","NORMAL")</f>
        <v>NORMAL</v>
      </c>
      <c r="J13" s="5" t="str">
        <f>IF(Table4[[#This Row],[night_transaction_rate]]&gt;=50%,"HIGH_ACTIVITY","NORMAL")</f>
        <v>NORMAL</v>
      </c>
      <c r="K13" s="5" t="str">
        <f>IF(Table4[[#This Row],[high_risk_count]]&gt;=5,"HIGH_RISK_ACTIVITY","NORMAL")</f>
        <v>NORMAL</v>
      </c>
      <c r="L13" s="5" t="str">
        <f>IF(Table4[[#This Row],[transaction_count]]&gt;=15,"HIGH_ACTIVITY","NORMAL")</f>
        <v>NORMAL</v>
      </c>
      <c r="M13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14" spans="1:13">
      <c r="A14" s="20" t="s">
        <v>38</v>
      </c>
      <c r="B14">
        <f>COUNTIF(TransactionsTable[customer_id],Customer_Risk_Profile!A14)</f>
        <v>6</v>
      </c>
      <c r="C14" s="17">
        <f>SUMIF(TransactionsTable[customer_id],Customer_Risk_Profile!A14,TransactionsTable[amount])</f>
        <v>47869</v>
      </c>
      <c r="D14" s="17">
        <f>C14/B14</f>
        <v>7978.166666666667</v>
      </c>
      <c r="E14">
        <f>COUNTIFS(TransactionsTable[customer_id],A14,TransactionsTable[status],"DECLINED")</f>
        <v>2</v>
      </c>
      <c r="F14" s="23">
        <f>IFERROR(E14/B14,0)</f>
        <v>0.33333333333333331</v>
      </c>
      <c r="G14" s="23">
        <f>COUNTIFS(TransactionsTable[customer_id],Table4[[#This Row],[customer_id]],TransactionsTable[is_night_transaction],1)/Table4[[#This Row],[transaction_count]]</f>
        <v>0.33333333333333331</v>
      </c>
      <c r="H14">
        <f>COUNTIFS(TransactionsTable[customer_id],Table4[[#This Row],[customer_id]],TransactionsTable[risk_flag],"HIGH_RISK")</f>
        <v>2</v>
      </c>
      <c r="I14" t="str">
        <f>IF(Table4[[#This Row],[decline_rate]]&gt;=40%,"HIGH_DECLINE","NORMAL")</f>
        <v>NORMAL</v>
      </c>
      <c r="J14" s="5" t="str">
        <f>IF(Table4[[#This Row],[night_transaction_rate]]&gt;=50%,"HIGH_ACTIVITY","NORMAL")</f>
        <v>NORMAL</v>
      </c>
      <c r="K14" s="5" t="str">
        <f>IF(Table4[[#This Row],[high_risk_count]]&gt;=5,"HIGH_RISK_ACTIVITY","NORMAL")</f>
        <v>NORMAL</v>
      </c>
      <c r="L14" s="5" t="str">
        <f>IF(Table4[[#This Row],[transaction_count]]&gt;=15,"HIGH_ACTIVITY","NORMAL")</f>
        <v>NORMAL</v>
      </c>
      <c r="M14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15" spans="1:13">
      <c r="A15" s="21" t="s">
        <v>39</v>
      </c>
      <c r="B15">
        <f>COUNTIF(TransactionsTable[customer_id],Customer_Risk_Profile!A15)</f>
        <v>9</v>
      </c>
      <c r="C15" s="17">
        <f>SUMIF(TransactionsTable[customer_id],Customer_Risk_Profile!A15,TransactionsTable[amount])</f>
        <v>37104</v>
      </c>
      <c r="D15" s="17">
        <f>C15/B15</f>
        <v>4122.666666666667</v>
      </c>
      <c r="E15">
        <f>COUNTIFS(TransactionsTable[customer_id],A15,TransactionsTable[status],"DECLINED")</f>
        <v>2</v>
      </c>
      <c r="F15" s="23">
        <f>IFERROR(E15/B15,0)</f>
        <v>0.22222222222222221</v>
      </c>
      <c r="G15" s="23">
        <f>COUNTIFS(TransactionsTable[customer_id],Table4[[#This Row],[customer_id]],TransactionsTable[is_night_transaction],1)/Table4[[#This Row],[transaction_count]]</f>
        <v>0.1111111111111111</v>
      </c>
      <c r="H15">
        <f>COUNTIFS(TransactionsTable[customer_id],Table4[[#This Row],[customer_id]],TransactionsTable[risk_flag],"HIGH_RISK")</f>
        <v>1</v>
      </c>
      <c r="I15" t="str">
        <f>IF(Table4[[#This Row],[decline_rate]]&gt;=40%,"HIGH_DECLINE","NORMAL")</f>
        <v>NORMAL</v>
      </c>
      <c r="J15" s="5" t="str">
        <f>IF(Table4[[#This Row],[night_transaction_rate]]&gt;=50%,"HIGH_ACTIVITY","NORMAL")</f>
        <v>NORMAL</v>
      </c>
      <c r="K15" s="5" t="str">
        <f>IF(Table4[[#This Row],[high_risk_count]]&gt;=5,"HIGH_RISK_ACTIVITY","NORMAL")</f>
        <v>NORMAL</v>
      </c>
      <c r="L15" s="5" t="str">
        <f>IF(Table4[[#This Row],[transaction_count]]&gt;=15,"HIGH_ACTIVITY","NORMAL")</f>
        <v>NORMAL</v>
      </c>
      <c r="M15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16" spans="1:13">
      <c r="A16" s="20" t="s">
        <v>40</v>
      </c>
      <c r="B16">
        <f>COUNTIF(TransactionsTable[customer_id],Customer_Risk_Profile!A16)</f>
        <v>9</v>
      </c>
      <c r="C16" s="17">
        <f>SUMIF(TransactionsTable[customer_id],Customer_Risk_Profile!A16,TransactionsTable[amount])</f>
        <v>26847</v>
      </c>
      <c r="D16" s="17">
        <f>C16/B16</f>
        <v>2983</v>
      </c>
      <c r="E16">
        <f>COUNTIFS(TransactionsTable[customer_id],A16,TransactionsTable[status],"DECLINED")</f>
        <v>2</v>
      </c>
      <c r="F16" s="23">
        <f>IFERROR(E16/B16,0)</f>
        <v>0.22222222222222221</v>
      </c>
      <c r="G16" s="23">
        <f>COUNTIFS(TransactionsTable[customer_id],Table4[[#This Row],[customer_id]],TransactionsTable[is_night_transaction],1)/Table4[[#This Row],[transaction_count]]</f>
        <v>0.44444444444444442</v>
      </c>
      <c r="H16">
        <f>COUNTIFS(TransactionsTable[customer_id],Table4[[#This Row],[customer_id]],TransactionsTable[risk_flag],"HIGH_RISK")</f>
        <v>2</v>
      </c>
      <c r="I16" t="str">
        <f>IF(Table4[[#This Row],[decline_rate]]&gt;=40%,"HIGH_DECLINE","NORMAL")</f>
        <v>NORMAL</v>
      </c>
      <c r="J16" s="5" t="str">
        <f>IF(Table4[[#This Row],[night_transaction_rate]]&gt;=50%,"HIGH_ACTIVITY","NORMAL")</f>
        <v>NORMAL</v>
      </c>
      <c r="K16" s="5" t="str">
        <f>IF(Table4[[#This Row],[high_risk_count]]&gt;=5,"HIGH_RISK_ACTIVITY","NORMAL")</f>
        <v>NORMAL</v>
      </c>
      <c r="L16" s="5" t="str">
        <f>IF(Table4[[#This Row],[transaction_count]]&gt;=15,"HIGH_ACTIVITY","NORMAL")</f>
        <v>NORMAL</v>
      </c>
      <c r="M16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17" spans="1:13">
      <c r="A17" s="21" t="s">
        <v>41</v>
      </c>
      <c r="B17">
        <f>COUNTIF(TransactionsTable[customer_id],Customer_Risk_Profile!A17)</f>
        <v>7</v>
      </c>
      <c r="C17" s="17">
        <f>SUMIF(TransactionsTable[customer_id],Customer_Risk_Profile!A17,TransactionsTable[amount])</f>
        <v>15367</v>
      </c>
      <c r="D17" s="17">
        <f>C17/B17</f>
        <v>2195.2857142857142</v>
      </c>
      <c r="E17">
        <f>COUNTIFS(TransactionsTable[customer_id],A17,TransactionsTable[status],"DECLINED")</f>
        <v>0</v>
      </c>
      <c r="F17" s="23">
        <f>IFERROR(E17/B17,0)</f>
        <v>0</v>
      </c>
      <c r="G17" s="23">
        <f>COUNTIFS(TransactionsTable[customer_id],Table4[[#This Row],[customer_id]],TransactionsTable[is_night_transaction],1)/Table4[[#This Row],[transaction_count]]</f>
        <v>0.42857142857142855</v>
      </c>
      <c r="H17">
        <f>COUNTIFS(TransactionsTable[customer_id],Table4[[#This Row],[customer_id]],TransactionsTable[risk_flag],"HIGH_RISK")</f>
        <v>1</v>
      </c>
      <c r="I17" t="str">
        <f>IF(Table4[[#This Row],[decline_rate]]&gt;=40%,"HIGH_DECLINE","NORMAL")</f>
        <v>NORMAL</v>
      </c>
      <c r="J17" s="5" t="str">
        <f>IF(Table4[[#This Row],[night_transaction_rate]]&gt;=50%,"HIGH_ACTIVITY","NORMAL")</f>
        <v>NORMAL</v>
      </c>
      <c r="K17" s="5" t="str">
        <f>IF(Table4[[#This Row],[high_risk_count]]&gt;=5,"HIGH_RISK_ACTIVITY","NORMAL")</f>
        <v>NORMAL</v>
      </c>
      <c r="L17" s="5" t="str">
        <f>IF(Table4[[#This Row],[transaction_count]]&gt;=15,"HIGH_ACTIVITY","NORMAL")</f>
        <v>NORMAL</v>
      </c>
      <c r="M17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18" spans="1:13">
      <c r="A18" s="20" t="s">
        <v>42</v>
      </c>
      <c r="B18">
        <f>COUNTIF(TransactionsTable[customer_id],Customer_Risk_Profile!A18)</f>
        <v>5</v>
      </c>
      <c r="C18" s="17">
        <f>SUMIF(TransactionsTable[customer_id],Customer_Risk_Profile!A18,TransactionsTable[amount])</f>
        <v>18622</v>
      </c>
      <c r="D18" s="17">
        <f>C18/B18</f>
        <v>3724.4</v>
      </c>
      <c r="E18">
        <f>COUNTIFS(TransactionsTable[customer_id],A18,TransactionsTable[status],"DECLINED")</f>
        <v>2</v>
      </c>
      <c r="F18" s="23">
        <f>IFERROR(E18/B18,0)</f>
        <v>0.4</v>
      </c>
      <c r="G18" s="23">
        <f>COUNTIFS(TransactionsTable[customer_id],Table4[[#This Row],[customer_id]],TransactionsTable[is_night_transaction],1)/Table4[[#This Row],[transaction_count]]</f>
        <v>0.4</v>
      </c>
      <c r="H18">
        <f>COUNTIFS(TransactionsTable[customer_id],Table4[[#This Row],[customer_id]],TransactionsTable[risk_flag],"HIGH_RISK")</f>
        <v>1</v>
      </c>
      <c r="I18" t="str">
        <f>IF(Table4[[#This Row],[decline_rate]]&gt;=40%,"HIGH_DECLINE","NORMAL")</f>
        <v>HIGH_DECLINE</v>
      </c>
      <c r="J18" s="5" t="str">
        <f>IF(Table4[[#This Row],[night_transaction_rate]]&gt;=50%,"HIGH_ACTIVITY","NORMAL")</f>
        <v>NORMAL</v>
      </c>
      <c r="K18" s="5" t="str">
        <f>IF(Table4[[#This Row],[high_risk_count]]&gt;=5,"HIGH_RISK_ACTIVITY","NORMAL")</f>
        <v>NORMAL</v>
      </c>
      <c r="L18" s="5" t="str">
        <f>IF(Table4[[#This Row],[transaction_count]]&gt;=15,"HIGH_ACTIVITY","NORMAL")</f>
        <v>NORMAL</v>
      </c>
      <c r="M18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1</v>
      </c>
    </row>
    <row r="19" spans="1:13">
      <c r="A19" s="24" t="s">
        <v>43</v>
      </c>
      <c r="B19">
        <f>COUNTIF(TransactionsTable[customer_id],Customer_Risk_Profile!A19)</f>
        <v>7</v>
      </c>
      <c r="C19" s="17">
        <f>SUMIF(TransactionsTable[customer_id],Customer_Risk_Profile!A19,TransactionsTable[amount])</f>
        <v>44972</v>
      </c>
      <c r="D19" s="17">
        <f>C19/B19</f>
        <v>6424.5714285714284</v>
      </c>
      <c r="E19">
        <f>COUNTIFS(TransactionsTable[customer_id],A19,TransactionsTable[status],"DECLINED")</f>
        <v>3</v>
      </c>
      <c r="F19" s="23">
        <f>IFERROR(E19/B19,0)</f>
        <v>0.42857142857142855</v>
      </c>
      <c r="G19" s="23">
        <f>COUNTIFS(TransactionsTable[customer_id],Table4[[#This Row],[customer_id]],TransactionsTable[is_night_transaction],1)/Table4[[#This Row],[transaction_count]]</f>
        <v>0.14285714285714285</v>
      </c>
      <c r="H19">
        <f>COUNTIFS(TransactionsTable[customer_id],Table4[[#This Row],[customer_id]],TransactionsTable[risk_flag],"HIGH_RISK")</f>
        <v>1</v>
      </c>
      <c r="I19" t="str">
        <f>IF(Table4[[#This Row],[decline_rate]]&gt;=40%,"HIGH_DECLINE","NORMAL")</f>
        <v>HIGH_DECLINE</v>
      </c>
      <c r="J19" s="5" t="str">
        <f>IF(Table4[[#This Row],[night_transaction_rate]]&gt;=50%,"HIGH_ACTIVITY","NORMAL")</f>
        <v>NORMAL</v>
      </c>
      <c r="K19" s="5" t="str">
        <f>IF(Table4[[#This Row],[high_risk_count]]&gt;=5,"HIGH_RISK_ACTIVITY","NORMAL")</f>
        <v>NORMAL</v>
      </c>
      <c r="L19" s="5" t="str">
        <f>IF(Table4[[#This Row],[transaction_count]]&gt;=15,"HIGH_ACTIVITY","NORMAL")</f>
        <v>NORMAL</v>
      </c>
      <c r="M19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1</v>
      </c>
    </row>
    <row r="20" spans="1:13">
      <c r="A20" s="25" t="s">
        <v>44</v>
      </c>
      <c r="B20">
        <f>COUNTIF(TransactionsTable[customer_id],Customer_Risk_Profile!A20)</f>
        <v>2</v>
      </c>
      <c r="C20" s="17">
        <f>SUMIF(TransactionsTable[customer_id],Customer_Risk_Profile!A20,TransactionsTable[amount])</f>
        <v>16894</v>
      </c>
      <c r="D20" s="17">
        <f>C20/B20</f>
        <v>8447</v>
      </c>
      <c r="E20">
        <f>COUNTIFS(TransactionsTable[customer_id],A20,TransactionsTable[status],"DECLINED")</f>
        <v>0</v>
      </c>
      <c r="F20" s="23">
        <f>IFERROR(E20/B20,0)</f>
        <v>0</v>
      </c>
      <c r="G20" s="23">
        <f>COUNTIFS(TransactionsTable[customer_id],Table4[[#This Row],[customer_id]],TransactionsTable[is_night_transaction],1)/Table4[[#This Row],[transaction_count]]</f>
        <v>0</v>
      </c>
      <c r="H20">
        <f>COUNTIFS(TransactionsTable[customer_id],Table4[[#This Row],[customer_id]],TransactionsTable[risk_flag],"HIGH_RISK")</f>
        <v>0</v>
      </c>
      <c r="I20" t="str">
        <f>IF(Table4[[#This Row],[decline_rate]]&gt;=40%,"HIGH_DECLINE","NORMAL")</f>
        <v>NORMAL</v>
      </c>
      <c r="J20" s="5" t="str">
        <f>IF(Table4[[#This Row],[night_transaction_rate]]&gt;=50%,"HIGH_ACTIVITY","NORMAL")</f>
        <v>NORMAL</v>
      </c>
      <c r="K20" s="5" t="str">
        <f>IF(Table4[[#This Row],[high_risk_count]]&gt;=5,"HIGH_RISK_ACTIVITY","NORMAL")</f>
        <v>NORMAL</v>
      </c>
      <c r="L20" s="5" t="str">
        <f>IF(Table4[[#This Row],[transaction_count]]&gt;=15,"HIGH_ACTIVITY","NORMAL")</f>
        <v>NORMAL</v>
      </c>
      <c r="M20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21" spans="1:13">
      <c r="A21" s="22" t="s">
        <v>45</v>
      </c>
      <c r="B21">
        <f>COUNTIF(TransactionsTable[customer_id],Customer_Risk_Profile!A21)</f>
        <v>6</v>
      </c>
      <c r="C21" s="17">
        <f>SUMIF(TransactionsTable[customer_id],Customer_Risk_Profile!A21,TransactionsTable[amount])</f>
        <v>24451</v>
      </c>
      <c r="D21" s="17">
        <f>C21/B21</f>
        <v>4075.1666666666665</v>
      </c>
      <c r="E21">
        <f>COUNTIFS(TransactionsTable[customer_id],A21,TransactionsTable[status],"DECLINED")</f>
        <v>1</v>
      </c>
      <c r="F21" s="23">
        <f>IFERROR(E21/B21,0)</f>
        <v>0.16666666666666666</v>
      </c>
      <c r="G21" s="23">
        <f>COUNTIFS(TransactionsTable[customer_id],Table4[[#This Row],[customer_id]],TransactionsTable[is_night_transaction],1)/Table4[[#This Row],[transaction_count]]</f>
        <v>0.33333333333333331</v>
      </c>
      <c r="H21">
        <f>COUNTIFS(TransactionsTable[customer_id],Table4[[#This Row],[customer_id]],TransactionsTable[risk_flag],"HIGH_RISK")</f>
        <v>1</v>
      </c>
      <c r="I21" t="str">
        <f>IF(Table4[[#This Row],[decline_rate]]&gt;=40%,"HIGH_DECLINE","NORMAL")</f>
        <v>NORMAL</v>
      </c>
      <c r="J21" s="5" t="str">
        <f>IF(Table4[[#This Row],[night_transaction_rate]]&gt;=50%,"HIGH_ACTIVITY","NORMAL")</f>
        <v>NORMAL</v>
      </c>
      <c r="K21" s="5" t="str">
        <f>IF(Table4[[#This Row],[high_risk_count]]&gt;=5,"HIGH_RISK_ACTIVITY","NORMAL")</f>
        <v>NORMAL</v>
      </c>
      <c r="L21" s="5" t="str">
        <f>IF(Table4[[#This Row],[transaction_count]]&gt;=15,"HIGH_ACTIVITY","NORMAL")</f>
        <v>NORMAL</v>
      </c>
      <c r="M21" s="5">
        <f>IF(Table4[[#This Row],[high_decline_flag]]="HIGH_DECLINE",1,0)+IF(Table4[[#This Row],[night_activity_flag]]="HIGH_ACTIVITY",1,0)+IF(Table4[[#This Row],[high_risk_tx_flag]]="HIGH_RISK_ACTIVITY",2,0)+IF(Table4[[#This Row],[high_activity_flag]]="HIGH_ACTIVITY",1,0)</f>
        <v>0</v>
      </c>
    </row>
    <row r="24" spans="1:13">
      <c r="C24" s="16" t="s">
        <v>292</v>
      </c>
      <c r="D24" t="s">
        <v>293</v>
      </c>
    </row>
    <row r="25" spans="1:13">
      <c r="C25">
        <v>0</v>
      </c>
      <c r="D25" s="5">
        <v>10</v>
      </c>
    </row>
    <row r="26" spans="1:13">
      <c r="C26">
        <v>1</v>
      </c>
      <c r="D26" s="5">
        <v>5</v>
      </c>
    </row>
    <row r="27" spans="1:13">
      <c r="C27">
        <v>2</v>
      </c>
      <c r="D27" s="5">
        <v>3</v>
      </c>
    </row>
    <row r="28" spans="1:13">
      <c r="C28">
        <v>3</v>
      </c>
      <c r="D28" s="5">
        <v>2</v>
      </c>
    </row>
    <row r="29" spans="1:13">
      <c r="C29" t="s">
        <v>278</v>
      </c>
      <c r="D29" s="5">
        <v>20</v>
      </c>
    </row>
  </sheetData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9252-44A9-4BDF-AF66-8FD155C56BF6}">
  <dimension ref="A1:I11"/>
  <sheetViews>
    <sheetView workbookViewId="0">
      <selection activeCell="E18" sqref="E18"/>
    </sheetView>
  </sheetViews>
  <sheetFormatPr defaultRowHeight="15"/>
  <cols>
    <col min="1" max="1" width="21.7109375" bestFit="1" customWidth="1"/>
    <col min="2" max="2" width="22.28515625" bestFit="1" customWidth="1"/>
    <col min="6" max="6" width="22.28515625" bestFit="1" customWidth="1"/>
    <col min="7" max="7" width="11.7109375" bestFit="1" customWidth="1"/>
    <col min="8" max="8" width="8.85546875" bestFit="1" customWidth="1"/>
    <col min="9" max="9" width="11.42578125" bestFit="1" customWidth="1"/>
  </cols>
  <sheetData>
    <row r="1" spans="1:9">
      <c r="A1" s="16" t="s">
        <v>62</v>
      </c>
      <c r="B1" t="s">
        <v>276</v>
      </c>
    </row>
    <row r="3" spans="1:9">
      <c r="A3" s="16" t="s">
        <v>61</v>
      </c>
      <c r="B3" t="s">
        <v>275</v>
      </c>
      <c r="F3" s="16" t="s">
        <v>275</v>
      </c>
      <c r="G3" s="16" t="s">
        <v>62</v>
      </c>
    </row>
    <row r="4" spans="1:9">
      <c r="A4" t="s">
        <v>8</v>
      </c>
      <c r="B4" s="5">
        <v>17</v>
      </c>
      <c r="F4" s="16" t="s">
        <v>61</v>
      </c>
      <c r="G4" t="s">
        <v>276</v>
      </c>
      <c r="H4" t="s">
        <v>277</v>
      </c>
      <c r="I4" t="s">
        <v>278</v>
      </c>
    </row>
    <row r="5" spans="1:9">
      <c r="A5" t="s">
        <v>9</v>
      </c>
      <c r="B5" s="5">
        <v>11</v>
      </c>
      <c r="F5" t="s">
        <v>7</v>
      </c>
      <c r="G5" s="23">
        <v>0</v>
      </c>
      <c r="H5" s="23">
        <v>1</v>
      </c>
      <c r="I5" s="23">
        <v>1</v>
      </c>
    </row>
    <row r="6" spans="1:9">
      <c r="A6" t="s">
        <v>10</v>
      </c>
      <c r="B6" s="5">
        <v>18</v>
      </c>
      <c r="F6" t="s">
        <v>8</v>
      </c>
      <c r="G6" s="23">
        <v>0.53125</v>
      </c>
      <c r="H6" s="23">
        <v>0.46875</v>
      </c>
      <c r="I6" s="23">
        <v>1</v>
      </c>
    </row>
    <row r="7" spans="1:9">
      <c r="A7" t="s">
        <v>11</v>
      </c>
      <c r="B7" s="5">
        <v>3</v>
      </c>
      <c r="F7" t="s">
        <v>9</v>
      </c>
      <c r="G7" s="23">
        <v>0.25</v>
      </c>
      <c r="H7" s="23">
        <v>0.75</v>
      </c>
      <c r="I7" s="23">
        <v>1</v>
      </c>
    </row>
    <row r="8" spans="1:9">
      <c r="A8" t="s">
        <v>12</v>
      </c>
      <c r="B8" s="5">
        <v>12</v>
      </c>
      <c r="F8" t="s">
        <v>10</v>
      </c>
      <c r="G8" s="23">
        <v>0.47368421052631576</v>
      </c>
      <c r="H8" s="23">
        <v>0.52631578947368418</v>
      </c>
      <c r="I8" s="23">
        <v>1</v>
      </c>
    </row>
    <row r="9" spans="1:9">
      <c r="A9" t="s">
        <v>278</v>
      </c>
      <c r="B9" s="5">
        <v>61</v>
      </c>
      <c r="F9" t="s">
        <v>11</v>
      </c>
      <c r="G9" s="23">
        <v>7.4999999999999997E-2</v>
      </c>
      <c r="H9" s="23">
        <v>0.92500000000000004</v>
      </c>
      <c r="I9" s="23">
        <v>1</v>
      </c>
    </row>
    <row r="10" spans="1:9">
      <c r="F10" t="s">
        <v>12</v>
      </c>
      <c r="G10" s="23">
        <v>0.27272727272727271</v>
      </c>
      <c r="H10" s="23">
        <v>0.72727272727272729</v>
      </c>
      <c r="I10" s="23">
        <v>1</v>
      </c>
    </row>
    <row r="11" spans="1:9">
      <c r="F11" t="s">
        <v>278</v>
      </c>
      <c r="G11" s="23">
        <v>0.30499999999999999</v>
      </c>
      <c r="H11" s="23">
        <v>0.69499999999999995</v>
      </c>
      <c r="I11" s="2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9238-A609-40DA-A96D-6C9DD34CF60F}">
  <dimension ref="A1:L21"/>
  <sheetViews>
    <sheetView tabSelected="1" workbookViewId="0">
      <selection activeCell="F29" sqref="F29"/>
    </sheetView>
  </sheetViews>
  <sheetFormatPr defaultRowHeight="15"/>
  <cols>
    <col min="1" max="1" width="16.28515625" bestFit="1" customWidth="1"/>
    <col min="2" max="2" width="17.7109375" customWidth="1"/>
    <col min="3" max="3" width="46.28515625" customWidth="1"/>
    <col min="4" max="4" width="24.5703125" customWidth="1"/>
    <col min="5" max="5" width="22.140625" customWidth="1"/>
    <col min="8" max="8" width="17" bestFit="1" customWidth="1"/>
    <col min="9" max="9" width="23" bestFit="1" customWidth="1"/>
    <col min="10" max="10" width="25.42578125" bestFit="1" customWidth="1"/>
    <col min="11" max="11" width="8.5703125" bestFit="1" customWidth="1"/>
    <col min="12" max="12" width="11.42578125" bestFit="1" customWidth="1"/>
  </cols>
  <sheetData>
    <row r="1" spans="1:12">
      <c r="A1" s="26" t="s">
        <v>56</v>
      </c>
      <c r="B1" t="s">
        <v>294</v>
      </c>
      <c r="C1" s="26" t="s">
        <v>295</v>
      </c>
      <c r="D1" t="s">
        <v>63</v>
      </c>
      <c r="E1" t="s">
        <v>64</v>
      </c>
    </row>
    <row r="2" spans="1:12">
      <c r="A2" s="27" t="s">
        <v>69</v>
      </c>
      <c r="B2" t="s">
        <v>296</v>
      </c>
      <c r="C2" s="26" t="s">
        <v>297</v>
      </c>
      <c r="D2" t="str">
        <f>_xlfn.XLOOKUP(Table5[[#This Row],[transaction_id]],Fact_Transactions!A4:A200,Fact_Transactions!M4:M200)</f>
        <v>HIGH</v>
      </c>
      <c r="E2">
        <f>_xlfn.XLOOKUP(Table5[[#This Row],[transaction_id]],TransactionsTable[transaction_id],TransactionsTable[customer_risk_score])</f>
        <v>2</v>
      </c>
      <c r="I2" s="16" t="s">
        <v>275</v>
      </c>
      <c r="J2" s="16" t="s">
        <v>294</v>
      </c>
    </row>
    <row r="3" spans="1:12">
      <c r="A3" s="27" t="s">
        <v>83</v>
      </c>
      <c r="B3" t="s">
        <v>298</v>
      </c>
      <c r="C3" t="s">
        <v>299</v>
      </c>
      <c r="D3" t="str">
        <f>_xlfn.XLOOKUP(Table5[[#This Row],[transaction_id]],Fact_Transactions!A5:A201,Fact_Transactions!M5:M201)</f>
        <v>HIGH</v>
      </c>
      <c r="E3">
        <f>_xlfn.XLOOKUP(Table5[[#This Row],[transaction_id]],TransactionsTable[transaction_id],TransactionsTable[customer_risk_score])</f>
        <v>3</v>
      </c>
      <c r="I3" s="16" t="s">
        <v>63</v>
      </c>
      <c r="J3" t="s">
        <v>296</v>
      </c>
      <c r="K3" t="s">
        <v>298</v>
      </c>
      <c r="L3" t="s">
        <v>278</v>
      </c>
    </row>
    <row r="4" spans="1:12">
      <c r="A4" s="26" t="s">
        <v>95</v>
      </c>
      <c r="B4" t="s">
        <v>296</v>
      </c>
      <c r="C4" t="s">
        <v>300</v>
      </c>
      <c r="D4" t="str">
        <f>_xlfn.XLOOKUP(Table5[[#This Row],[transaction_id]],Fact_Transactions!A6:A202,Fact_Transactions!M6:M202)</f>
        <v>URGENT</v>
      </c>
      <c r="E4">
        <f>_xlfn.XLOOKUP(Table5[[#This Row],[transaction_id]],TransactionsTable[transaction_id],TransactionsTable[customer_risk_score])</f>
        <v>0</v>
      </c>
      <c r="I4" t="s">
        <v>272</v>
      </c>
      <c r="J4" s="5">
        <v>9</v>
      </c>
      <c r="K4" s="5">
        <v>3</v>
      </c>
      <c r="L4" s="5">
        <v>12</v>
      </c>
    </row>
    <row r="5" spans="1:12">
      <c r="A5" s="27" t="s">
        <v>105</v>
      </c>
      <c r="B5" t="s">
        <v>298</v>
      </c>
      <c r="C5" t="s">
        <v>301</v>
      </c>
      <c r="D5" t="str">
        <f>_xlfn.XLOOKUP(Table5[[#This Row],[transaction_id]],Fact_Transactions!A7:A203,Fact_Transactions!M7:M203)</f>
        <v>URGENT</v>
      </c>
      <c r="E5">
        <f>_xlfn.XLOOKUP(Table5[[#This Row],[transaction_id]],TransactionsTable[transaction_id],TransactionsTable[customer_risk_score])</f>
        <v>0</v>
      </c>
      <c r="I5" t="s">
        <v>271</v>
      </c>
      <c r="J5" s="5">
        <v>6</v>
      </c>
      <c r="K5" s="5">
        <v>2</v>
      </c>
      <c r="L5" s="5">
        <v>8</v>
      </c>
    </row>
    <row r="6" spans="1:12">
      <c r="A6" s="14" t="s">
        <v>117</v>
      </c>
      <c r="B6" t="s">
        <v>296</v>
      </c>
      <c r="C6" t="s">
        <v>302</v>
      </c>
      <c r="D6" t="str">
        <f>_xlfn.XLOOKUP(Table5[[#This Row],[transaction_id]],Fact_Transactions!A8:A204,Fact_Transactions!M8:M204)</f>
        <v>HIGH</v>
      </c>
      <c r="E6">
        <f>_xlfn.XLOOKUP(Table5[[#This Row],[transaction_id]],TransactionsTable[transaction_id],TransactionsTable[customer_risk_score])</f>
        <v>2</v>
      </c>
      <c r="I6" t="s">
        <v>278</v>
      </c>
      <c r="J6" s="5">
        <v>15</v>
      </c>
      <c r="K6" s="5">
        <v>5</v>
      </c>
      <c r="L6" s="5">
        <v>20</v>
      </c>
    </row>
    <row r="7" spans="1:12">
      <c r="A7" s="28" t="s">
        <v>126</v>
      </c>
      <c r="B7" t="s">
        <v>296</v>
      </c>
      <c r="C7" t="s">
        <v>301</v>
      </c>
      <c r="D7" t="str">
        <f>_xlfn.XLOOKUP(Table5[[#This Row],[transaction_id]],Fact_Transactions!A9:A205,Fact_Transactions!M9:M205)</f>
        <v>HIGH</v>
      </c>
      <c r="E7">
        <f>_xlfn.XLOOKUP(Table5[[#This Row],[transaction_id]],TransactionsTable[transaction_id],TransactionsTable[customer_risk_score])</f>
        <v>0</v>
      </c>
    </row>
    <row r="8" spans="1:12">
      <c r="A8" s="28" t="s">
        <v>136</v>
      </c>
      <c r="B8" t="s">
        <v>296</v>
      </c>
      <c r="C8" t="s">
        <v>303</v>
      </c>
      <c r="D8" t="str">
        <f>_xlfn.XLOOKUP(Table5[[#This Row],[transaction_id]],Fact_Transactions!A10:A206,Fact_Transactions!M10:M206)</f>
        <v>HIGH</v>
      </c>
      <c r="E8">
        <f>_xlfn.XLOOKUP(Table5[[#This Row],[transaction_id]],TransactionsTable[transaction_id],TransactionsTable[customer_risk_score])</f>
        <v>3</v>
      </c>
    </row>
    <row r="9" spans="1:12">
      <c r="A9" s="28" t="s">
        <v>138</v>
      </c>
      <c r="B9" t="s">
        <v>296</v>
      </c>
      <c r="C9" t="s">
        <v>301</v>
      </c>
      <c r="D9" t="str">
        <f>_xlfn.XLOOKUP(Table5[[#This Row],[transaction_id]],Fact_Transactions!A11:A207,Fact_Transactions!M11:M207)</f>
        <v>URGENT</v>
      </c>
      <c r="E9">
        <f>_xlfn.XLOOKUP(Table5[[#This Row],[transaction_id]],TransactionsTable[transaction_id],TransactionsTable[customer_risk_score])</f>
        <v>1</v>
      </c>
    </row>
    <row r="10" spans="1:12">
      <c r="A10" s="14" t="s">
        <v>139</v>
      </c>
      <c r="B10" t="s">
        <v>296</v>
      </c>
      <c r="C10" t="s">
        <v>302</v>
      </c>
      <c r="D10" t="str">
        <f>_xlfn.XLOOKUP(Table5[[#This Row],[transaction_id]],Fact_Transactions!A12:A208,Fact_Transactions!M12:M208)</f>
        <v>URGENT</v>
      </c>
      <c r="E10">
        <f>_xlfn.XLOOKUP(Table5[[#This Row],[transaction_id]],TransactionsTable[transaction_id],TransactionsTable[customer_risk_score])</f>
        <v>0</v>
      </c>
    </row>
    <row r="11" spans="1:12">
      <c r="A11" s="28" t="s">
        <v>152</v>
      </c>
      <c r="B11" t="s">
        <v>296</v>
      </c>
      <c r="C11" t="s">
        <v>304</v>
      </c>
      <c r="D11" t="str">
        <f>_xlfn.XLOOKUP(Table5[[#This Row],[transaction_id]],Fact_Transactions!A13:A209,Fact_Transactions!M13:M209)</f>
        <v>URGENT</v>
      </c>
      <c r="E11">
        <f>_xlfn.XLOOKUP(Table5[[#This Row],[transaction_id]],TransactionsTable[transaction_id],TransactionsTable[customer_risk_score])</f>
        <v>0</v>
      </c>
    </row>
    <row r="12" spans="1:12">
      <c r="A12" s="14" t="s">
        <v>166</v>
      </c>
      <c r="B12" t="s">
        <v>296</v>
      </c>
      <c r="C12" t="s">
        <v>305</v>
      </c>
      <c r="D12" t="str">
        <f>_xlfn.XLOOKUP(Table5[[#This Row],[transaction_id]],Fact_Transactions!A14:A210,Fact_Transactions!M14:M210)</f>
        <v>HIGH</v>
      </c>
      <c r="E12">
        <f>_xlfn.XLOOKUP(Table5[[#This Row],[transaction_id]],TransactionsTable[transaction_id],TransactionsTable[customer_risk_score])</f>
        <v>3</v>
      </c>
    </row>
    <row r="13" spans="1:12">
      <c r="A13" s="14" t="s">
        <v>182</v>
      </c>
      <c r="B13" t="s">
        <v>296</v>
      </c>
      <c r="C13" t="s">
        <v>302</v>
      </c>
      <c r="D13" t="str">
        <f>_xlfn.XLOOKUP(Table5[[#This Row],[transaction_id]],Fact_Transactions!A15:A211,Fact_Transactions!M15:M211)</f>
        <v>URGENT</v>
      </c>
      <c r="E13">
        <f>_xlfn.XLOOKUP(Table5[[#This Row],[transaction_id]],TransactionsTable[transaction_id],TransactionsTable[customer_risk_score])</f>
        <v>0</v>
      </c>
      <c r="I13" s="16" t="s">
        <v>275</v>
      </c>
      <c r="J13" s="16" t="s">
        <v>63</v>
      </c>
    </row>
    <row r="14" spans="1:12">
      <c r="A14" s="28" t="s">
        <v>187</v>
      </c>
      <c r="B14" t="s">
        <v>298</v>
      </c>
      <c r="C14" t="s">
        <v>306</v>
      </c>
      <c r="D14" t="str">
        <f>_xlfn.XLOOKUP(Table5[[#This Row],[transaction_id]],Fact_Transactions!A16:A212,Fact_Transactions!M16:M212)</f>
        <v>HIGH</v>
      </c>
      <c r="E14">
        <f>_xlfn.XLOOKUP(Table5[[#This Row],[transaction_id]],TransactionsTable[transaction_id],TransactionsTable[customer_risk_score])</f>
        <v>3</v>
      </c>
      <c r="I14" s="16" t="s">
        <v>64</v>
      </c>
      <c r="J14" t="s">
        <v>272</v>
      </c>
      <c r="K14" t="s">
        <v>271</v>
      </c>
      <c r="L14" t="s">
        <v>278</v>
      </c>
    </row>
    <row r="15" spans="1:12">
      <c r="A15" s="14" t="s">
        <v>200</v>
      </c>
      <c r="B15" t="s">
        <v>296</v>
      </c>
      <c r="C15" t="s">
        <v>304</v>
      </c>
      <c r="D15" t="str">
        <f>_xlfn.XLOOKUP(Table5[[#This Row],[transaction_id]],Fact_Transactions!A17:A213,Fact_Transactions!M17:M213)</f>
        <v>HIGH</v>
      </c>
      <c r="E15">
        <f>_xlfn.XLOOKUP(Table5[[#This Row],[transaction_id]],TransactionsTable[transaction_id],TransactionsTable[customer_risk_score])</f>
        <v>2</v>
      </c>
      <c r="I15">
        <v>0</v>
      </c>
      <c r="J15" s="5">
        <v>1</v>
      </c>
      <c r="K15" s="5">
        <v>5</v>
      </c>
      <c r="L15" s="5">
        <v>6</v>
      </c>
    </row>
    <row r="16" spans="1:12">
      <c r="A16" s="28" t="s">
        <v>204</v>
      </c>
      <c r="B16" t="s">
        <v>296</v>
      </c>
      <c r="C16" t="s">
        <v>305</v>
      </c>
      <c r="D16" t="str">
        <f>_xlfn.XLOOKUP(Table5[[#This Row],[transaction_id]],Fact_Transactions!A18:A214,Fact_Transactions!M18:M214)</f>
        <v>HIGH</v>
      </c>
      <c r="E16">
        <f>_xlfn.XLOOKUP(Table5[[#This Row],[transaction_id]],TransactionsTable[transaction_id],TransactionsTable[customer_risk_score])</f>
        <v>3</v>
      </c>
      <c r="I16">
        <v>1</v>
      </c>
      <c r="J16" s="5"/>
      <c r="K16" s="5">
        <v>3</v>
      </c>
      <c r="L16" s="5">
        <v>3</v>
      </c>
    </row>
    <row r="17" spans="1:12">
      <c r="A17" s="28" t="s">
        <v>212</v>
      </c>
      <c r="B17" t="s">
        <v>296</v>
      </c>
      <c r="C17" t="s">
        <v>307</v>
      </c>
      <c r="D17" t="str">
        <f>_xlfn.XLOOKUP(Table5[[#This Row],[transaction_id]],Fact_Transactions!A19:A215,Fact_Transactions!M19:M215)</f>
        <v>URGENT</v>
      </c>
      <c r="E17">
        <f>_xlfn.XLOOKUP(Table5[[#This Row],[transaction_id]],TransactionsTable[transaction_id],TransactionsTable[customer_risk_score])</f>
        <v>1</v>
      </c>
      <c r="I17">
        <v>2</v>
      </c>
      <c r="J17" s="5">
        <v>5</v>
      </c>
      <c r="K17" s="5"/>
      <c r="L17" s="5">
        <v>5</v>
      </c>
    </row>
    <row r="18" spans="1:12">
      <c r="A18" s="14" t="s">
        <v>235</v>
      </c>
      <c r="B18" t="s">
        <v>298</v>
      </c>
      <c r="C18" t="s">
        <v>308</v>
      </c>
      <c r="D18" t="str">
        <f>_xlfn.XLOOKUP(Table5[[#This Row],[transaction_id]],Fact_Transactions!A20:A216,Fact_Transactions!M20:M216)</f>
        <v>URGENT</v>
      </c>
      <c r="E18">
        <f>_xlfn.XLOOKUP(Table5[[#This Row],[transaction_id]],TransactionsTable[transaction_id],TransactionsTable[customer_risk_score])</f>
        <v>1</v>
      </c>
      <c r="I18">
        <v>3</v>
      </c>
      <c r="J18" s="5">
        <v>6</v>
      </c>
      <c r="K18" s="5"/>
      <c r="L18" s="5">
        <v>6</v>
      </c>
    </row>
    <row r="19" spans="1:12">
      <c r="A19" s="14" t="s">
        <v>243</v>
      </c>
      <c r="B19" t="s">
        <v>298</v>
      </c>
      <c r="C19" t="s">
        <v>308</v>
      </c>
      <c r="D19" t="str">
        <f>_xlfn.XLOOKUP(Table5[[#This Row],[transaction_id]],Fact_Transactions!A21:A217,Fact_Transactions!M21:M217)</f>
        <v>HIGH</v>
      </c>
      <c r="E19">
        <f>_xlfn.XLOOKUP(Table5[[#This Row],[transaction_id]],TransactionsTable[transaction_id],TransactionsTable[customer_risk_score])</f>
        <v>2</v>
      </c>
      <c r="I19" t="s">
        <v>278</v>
      </c>
      <c r="J19" s="5">
        <v>12</v>
      </c>
      <c r="K19" s="5">
        <v>8</v>
      </c>
      <c r="L19" s="5">
        <v>20</v>
      </c>
    </row>
    <row r="20" spans="1:12">
      <c r="A20" s="28" t="s">
        <v>248</v>
      </c>
      <c r="B20" t="s">
        <v>296</v>
      </c>
      <c r="C20" t="s">
        <v>302</v>
      </c>
      <c r="D20" t="str">
        <f>_xlfn.XLOOKUP(Table5[[#This Row],[transaction_id]],Fact_Transactions!A22:A218,Fact_Transactions!M22:M218)</f>
        <v>HIGH</v>
      </c>
      <c r="E20">
        <f>_xlfn.XLOOKUP(Table5[[#This Row],[transaction_id]],TransactionsTable[transaction_id],TransactionsTable[customer_risk_score])</f>
        <v>2</v>
      </c>
    </row>
    <row r="21" spans="1:12">
      <c r="A21" s="14" t="s">
        <v>249</v>
      </c>
      <c r="B21" t="s">
        <v>296</v>
      </c>
      <c r="C21" t="s">
        <v>302</v>
      </c>
      <c r="D21" t="str">
        <f>_xlfn.XLOOKUP(Table5[[#This Row],[transaction_id]],Fact_Transactions!A23:A219,Fact_Transactions!M23:M219)</f>
        <v>HIGH</v>
      </c>
      <c r="E21">
        <f>_xlfn.XLOOKUP(Table5[[#This Row],[transaction_id]],TransactionsTable[transaction_id],TransactionsTable[customer_risk_score])</f>
        <v>3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2026-09-22T17:49:06Z</dcterms:created>
  <dcterms:modified xsi:type="dcterms:W3CDTF">2026-09-27T16:51:28Z</dcterms:modified>
  <cp:category/>
  <cp:contentStatus/>
</cp:coreProperties>
</file>